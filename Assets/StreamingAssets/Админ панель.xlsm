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mc:AlternateContent xmlns:mc="http://schemas.openxmlformats.org/markup-compatibility/2006">
    <mc:Choice Requires="x15">
      <x15ac:absPath xmlns:x15ac="http://schemas.microsoft.com/office/spreadsheetml/2010/11/ac" url="D:\Unity\Projects\Literature\Assets\StreamingAssets\"/>
    </mc:Choice>
  </mc:AlternateContent>
  <xr:revisionPtr revIDLastSave="0" documentId="13_ncr:1_{7BDE5EEA-7543-45D1-AFEE-5185D6A76C82}" xr6:coauthVersionLast="47" xr6:coauthVersionMax="47" xr10:uidLastSave="{00000000-0000-0000-0000-000000000000}"/>
  <bookViews>
    <workbookView xWindow="-120" yWindow="-120" windowWidth="38640" windowHeight="21120" xr2:uid="{00000000-000D-0000-FFFF-FFFF00000000}"/>
  </bookViews>
  <sheets>
    <sheet name="Литераторы" sheetId="1" r:id="rId1"/>
    <sheet name="События" sheetId="2" r:id="rId2"/>
    <sheet name="Презентации"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 i="2" l="1"/>
  <c r="N22" i="1"/>
  <c r="F22" i="1"/>
  <c r="F8" i="1"/>
  <c r="F11" i="1"/>
  <c r="F14" i="1"/>
  <c r="F2" i="1"/>
  <c r="F4" i="1"/>
  <c r="F21" i="1"/>
  <c r="F3" i="1"/>
  <c r="F18" i="1"/>
  <c r="F19" i="1"/>
  <c r="F15" i="1"/>
  <c r="F24" i="1"/>
  <c r="F13" i="1"/>
  <c r="F17" i="1"/>
  <c r="F20" i="1"/>
  <c r="F23" i="1"/>
  <c r="F12" i="1"/>
  <c r="F9" i="1"/>
  <c r="F25" i="1"/>
  <c r="F16" i="1"/>
  <c r="F5" i="1"/>
  <c r="F10" i="1"/>
  <c r="N10" i="1"/>
  <c r="O10" i="1"/>
  <c r="P10" i="1"/>
  <c r="Q10" i="1"/>
  <c r="R10" i="1"/>
  <c r="S10" i="1"/>
  <c r="N5" i="1"/>
  <c r="O5" i="1"/>
  <c r="P5" i="1"/>
  <c r="Q5" i="1"/>
  <c r="R5" i="1"/>
  <c r="S5" i="1"/>
  <c r="N16" i="1"/>
  <c r="O16" i="1"/>
  <c r="P16" i="1"/>
  <c r="Q16" i="1"/>
  <c r="R16" i="1"/>
  <c r="S16" i="1"/>
  <c r="N9" i="1"/>
  <c r="O9" i="1"/>
  <c r="P9" i="1"/>
  <c r="Q9" i="1"/>
  <c r="R9" i="1"/>
  <c r="S9" i="1"/>
  <c r="N25" i="1"/>
  <c r="O25" i="1"/>
  <c r="P25" i="1"/>
  <c r="Q25" i="1"/>
  <c r="R25" i="1"/>
  <c r="S25" i="1"/>
  <c r="N12" i="1"/>
  <c r="O12" i="1"/>
  <c r="P12" i="1"/>
  <c r="Q12" i="1"/>
  <c r="R12" i="1"/>
  <c r="S12" i="1"/>
  <c r="N23" i="1"/>
  <c r="O23" i="1"/>
  <c r="P23" i="1"/>
  <c r="Q23" i="1"/>
  <c r="R23" i="1"/>
  <c r="S23" i="1"/>
  <c r="N2" i="1"/>
  <c r="O2" i="1"/>
  <c r="P2" i="1"/>
  <c r="Q2" i="1"/>
  <c r="R2" i="1"/>
  <c r="S2" i="1"/>
  <c r="N4" i="1"/>
  <c r="O4" i="1"/>
  <c r="P4" i="1"/>
  <c r="Q4" i="1"/>
  <c r="R4" i="1"/>
  <c r="S4" i="1"/>
  <c r="N21" i="1"/>
  <c r="O21" i="1"/>
  <c r="P21" i="1"/>
  <c r="Q21" i="1"/>
  <c r="R21" i="1"/>
  <c r="S21" i="1"/>
  <c r="N3" i="1"/>
  <c r="O3" i="1"/>
  <c r="P3" i="1"/>
  <c r="Q3" i="1"/>
  <c r="R3" i="1"/>
  <c r="S3" i="1"/>
  <c r="N18" i="1"/>
  <c r="O18" i="1"/>
  <c r="P18" i="1"/>
  <c r="Q18" i="1"/>
  <c r="R18" i="1"/>
  <c r="S18" i="1"/>
  <c r="N7" i="1"/>
  <c r="N6" i="1"/>
  <c r="O7" i="1"/>
  <c r="P7" i="1"/>
  <c r="Q7" i="1"/>
  <c r="R7" i="1"/>
  <c r="S7" i="1"/>
  <c r="S6" i="1"/>
  <c r="R6" i="1"/>
  <c r="Q6" i="1"/>
  <c r="P6" i="1"/>
  <c r="O6" i="1"/>
  <c r="F7" i="1"/>
  <c r="F6" i="1"/>
</calcChain>
</file>

<file path=xl/sharedStrings.xml><?xml version="1.0" encoding="utf-8"?>
<sst xmlns="http://schemas.openxmlformats.org/spreadsheetml/2006/main" count="1483" uniqueCount="1134">
  <si>
    <t>Ключ объекта</t>
  </si>
  <si>
    <t>Название</t>
  </si>
  <si>
    <t>Описание</t>
  </si>
  <si>
    <t>Предпросмотр</t>
  </si>
  <si>
    <t>Имя</t>
  </si>
  <si>
    <t>Годы жизни</t>
  </si>
  <si>
    <t>Биография</t>
  </si>
  <si>
    <t>Цитата1</t>
  </si>
  <si>
    <t>Фото</t>
  </si>
  <si>
    <t>Цитата2</t>
  </si>
  <si>
    <t>Факт1 Заголовок</t>
  </si>
  <si>
    <t>Факт2 Описание</t>
  </si>
  <si>
    <t>Факт1 Описание</t>
  </si>
  <si>
    <t>Факт2 Заголовок</t>
  </si>
  <si>
    <t>Произведения</t>
  </si>
  <si>
    <t>Фото цитата1</t>
  </si>
  <si>
    <t>Фото цитата2</t>
  </si>
  <si>
    <t>Фото1</t>
  </si>
  <si>
    <t>Фото2</t>
  </si>
  <si>
    <t>Фото3</t>
  </si>
  <si>
    <t>Фото4</t>
  </si>
  <si>
    <t>А.С. Пушкин</t>
  </si>
  <si>
    <t>1799-1837</t>
  </si>
  <si>
    <t>"Мой друг, отчизне посвятим души прекрасные порывы!"</t>
  </si>
  <si>
    <t>Лицейские годы</t>
  </si>
  <si>
    <t>Провел 6 лет в Царскосельском лицее
1811-1817</t>
  </si>
  <si>
    <t>Творческое наследие</t>
  </si>
  <si>
    <t>Создал основы современного русского языка
800+ произведений</t>
  </si>
  <si>
    <t>Евгений Онегин
Руслан и Людмила
Капитанская дочка
Медный всадник</t>
  </si>
  <si>
    <t>Год</t>
  </si>
  <si>
    <t>Дата</t>
  </si>
  <si>
    <t>Город</t>
  </si>
  <si>
    <t>Событие</t>
  </si>
  <si>
    <t>Историческое значение</t>
  </si>
  <si>
    <t>Связанные лица</t>
  </si>
  <si>
    <t>Материал заголовок 1</t>
  </si>
  <si>
    <t>Материал описание 1</t>
  </si>
  <si>
    <t>Материал заголовок 2</t>
  </si>
  <si>
    <t>Материал описание 2</t>
  </si>
  <si>
    <t>Описание0</t>
  </si>
  <si>
    <t>Иконка</t>
  </si>
  <si>
    <t>Иконка карточки</t>
  </si>
  <si>
    <t>Первые издания</t>
  </si>
  <si>
    <t>Царское Село</t>
  </si>
  <si>
    <t>В.А. Жуковский</t>
  </si>
  <si>
    <t>1783-1852</t>
  </si>
  <si>
    <t>"О милый друг! и в этом сердце льдистом</t>
  </si>
  <si>
    <t>Жуковский был одним из основателей литературного общества "Арзамас".</t>
  </si>
  <si>
    <t>Жуковский активно занимался благотворительностью.</t>
  </si>
  <si>
    <t>"Светлана" (1813)
"Людмила"
"Лесной царь"
"Ундина" (1836)
"Певец во стане русских воинов" (1812)
"К портрету императрицы Елизаветы Петровны" (1800)</t>
  </si>
  <si>
    <t>Это общество сыграло важную роль в развитии русской литературы начала XIX века, выступая против архаистов и поддерживая новые литературные направления.</t>
  </si>
  <si>
    <t>Он помогал бедным студентам, поддерживал талантливых художников и писателей, а также участвовал в организации</t>
  </si>
  <si>
    <t>"Вся жизнь есть только миг,
И счастье - только сон."</t>
  </si>
  <si>
    <t>1919-2017</t>
  </si>
  <si>
    <t>«Человек рождается для того, чтобы оставить след. Не обязательно великий, но свой.»</t>
  </si>
  <si>
    <t>«Память – это не только прошлое, но и будущее. Без памяти нет человека, нет народа, нет
истории.»</t>
  </si>
  <si>
    <t>Увлечение фотографией и личный архив:</t>
  </si>
  <si>
    <t>1954: «Искатели» (первая опубликованная повесть)
1955: «Константин Симонов» (литературный портрет)
1957: «Сельская ночь»
1960: «Один год детства»
1961: «Семейное счастье»
1962: «Я иду против течения»
1965: «Поиск»
1968: «Иду на грозу»
1971: «Эта странная жизнь»
1974: «Клавдия»
1974: «Завтрашние заботы»
1976: «Победители»
1978: «Картина»
1981: «Жизнь не по лекалу»
1984: «Обещание»
1987: «Зубр»
1988: «Книга размышлений»
1990: «Отечество»
1994: «Вечера с Петром Великим»
1997: «Былое и вечное»
2000: «Мой генерал»
2005: «Неизвестный солдат»
2008: «Человек и его время»
2011: «Летящие сквозь ветер»
2013: «Заговор»
2015: «Пятая стража»</t>
  </si>
  <si>
    <t>Д.А. Гранин</t>
  </si>
  <si>
    <t>Даниил Гранин был не только писателем, но и страстным фотографом-любителем. На протяжении всей своей жизни он вел обширный фотоархив, запечатлевая не только важные события своей жизни и встречи с выдающимися
людьми, но и повседневную жизнь, пейзажи, портреты близких. Эти фотографии, многие из которых до сих пор не опубликованы, представляют собой уникальный визуальный дневник его эпохи и его личного восприятия мира. Они дополняют его литературное наследие, позволяя увидеть писателя глазами его современников и его самого.</t>
  </si>
  <si>
    <t>Помимо своей писательской деятельности, Даниил Гранин активно участвовал в создании масштабных мемориальных проектов, посвященных жертвам Великой Отечественной войны. Он был одним из инициаторов и активных участников разработки концепции "Книги памяти", которая собирала информацию о погибших и пропавших без вести солдатах, а также "Книги скорби", призванной увековечить память о мирных жителях, погибших в годы войны. Эта работа была для него не просто общественной нагрузкой, а глубоко личным делом,
продиктованным его собственным военным опытом и чувством долга
перед поколением победителей.</t>
  </si>
  <si>
    <t>Участие в разработке концепции "Книги памяти" и "Книги cкорби":</t>
  </si>
  <si>
    <t>1880-1932</t>
  </si>
  <si>
    <t>"Если человек не может найти себя, он никогда не найдет счастья."</t>
  </si>
  <si>
    <t>"Я верю в то, что человек может всё, если он верит в себя."</t>
  </si>
  <si>
    <t>Настоящее имя – Александр Степанович Гриневский:</t>
  </si>
  <si>
    <t>Писатель взял псевдоним.</t>
  </si>
  <si>
    <t>Увлечение карточными играми:</t>
  </si>
  <si>
    <t>В молодости Грин имел склонность к азартным играм,
что иногда приводило к финансовым трудностям.</t>
  </si>
  <si>
    <t>Повести:
"Алые паруса" (1923)
"Бегущая по волнам" (1928)
"Шторм" (1929)
"Блистающий мир" (1923)
"Золотая цепь" (1924)
"Дорога никуда" (1929)
"Корабли в Лиссе" (1922)
Рассказы:
"Серый автомобиль" (1906)
"Остров погибших кораблей" (1907)
"Человек, который знал всё" (1909)
"Мистер Смит" (1910)
"Крысолов" (1911)</t>
  </si>
  <si>
    <t>Н. С. Гумилев</t>
  </si>
  <si>
    <t>1886-1921</t>
  </si>
  <si>
    <t>"Я – русский, и этим горжусь!"</t>
  </si>
  <si>
    <t>"И если есть в моей душе хоть искра Божества, то я ее тебе отдам."</t>
  </si>
  <si>
    <t>Увлечение энтомологией:</t>
  </si>
  <si>
    <t>Основатель "Цеха поэтов":</t>
  </si>
  <si>
    <t>Помимо поэзии, Гумилев страстно увлекался
энтомологией – наукой о насекомых. Он совершал экспедиции в Африку,
где собирал редкие виды бабочек и жуков, многие из которых были
впоследствии описаны и названы его именем. Его коллекция насекомых
хранится в Зоологическом музее Российской академии наук.</t>
  </si>
  <si>
    <t>Гумилев был одним из основателей и
идейных вдохновителей литературного объединения "Цех поэтов",
которое стало колыбелью акмеизма.
что иногда приводило к финансовым трудностям.</t>
  </si>
  <si>
    <t>"Путь конквистадоров" (1905)
"Романтические цветы" (1908)
"Жемчуга" (1910)
"Шатер" (1921)
"Чужое небо" (1912)
"Колчан" (1916)
"Костер" (1918)</t>
  </si>
  <si>
    <t>Г. Р. Державин</t>
  </si>
  <si>
    <t>1743-1816</t>
  </si>
  <si>
    <t>"Я царь — я раб; я червь — я бог!"</t>
  </si>
  <si>
    <t>"Хвала Тебе, Творец всесильный! Ты правишь миром, как своим."</t>
  </si>
  <si>
    <t>Державин – изобретатель:</t>
  </si>
  <si>
    <t>"Случайный" успех:</t>
  </si>
  <si>
    <t>Державин не сразу добился признания. Его ода "Фелице" была написана в ответ на конкурс, объявленный Екатериной II, и именно она принесла ему широкую известность и благосклонность императрицы.</t>
  </si>
  <si>
    <t xml:space="preserve">Действительный тайный советник (1793)
Сенатор (1793)
Министр юстиции (1802-1803)
Член Российской академии (1777)
Кавалер ордена Святого Владимира 1-й степени
</t>
  </si>
  <si>
    <t>Помимо поэзии, Гавриил Романович увлекался механикой и даже изобрел самодвижущийся экипаж, который мог двигаться без лошадей. Он также экспериментировал с различными механизмами для улучшения быта.</t>
  </si>
  <si>
    <t>Ф.М. Достоевский</t>
  </si>
  <si>
    <t>1821-1881</t>
  </si>
  <si>
    <t>"Страдание - да, это единственная причина сознания."</t>
  </si>
  <si>
    <t>Достоевский страдал от эпилепсии, которая оказала влияние на его творчество.</t>
  </si>
  <si>
    <t>Достоевский был приговорен к смертной казни, которая была заменена каторгой в последний момент.</t>
  </si>
  <si>
    <t>Факт 1:</t>
  </si>
  <si>
    <t>Факт 2:</t>
  </si>
  <si>
    <t>Бедные люди (1846)
Двойник (1846)
Записки из Мертвого дома (1860-1862)
Униженные и оскорбленные (1861)
Записки из подполья (1864)</t>
  </si>
  <si>
    <t>"Сострадание есть главнейший, и может быть, единственный закон бытия всего человечества."</t>
  </si>
  <si>
    <t>И.А. Ефремов</t>
  </si>
  <si>
    <t>1908-1972</t>
  </si>
  <si>
    <t>"Человек есть мера всех вещей, но не в смысле эгоизма, а в смысле высшей ступени развития материи, способной к познанию и творчеству."</t>
  </si>
  <si>
    <t>"Истинная свобода – это не отсутствие ограничений, а способность управлять
собой и своими желаниями."</t>
  </si>
  <si>
    <t>Вдохновение для "Туманности Андромеды"</t>
  </si>
  <si>
    <t>Идеи для своего знаменитого романа "Туманность Андромеды" Иван Ефремов черпал не только из научных изысканий, но и из личных наблюдений за природой, а также из философских размышлений о будущем человечества.</t>
  </si>
  <si>
    <t>Ефремов был страстным путешественником. Он совершал многочисленные экспедиции по Советскому Союзу и за его пределами, собирая палеонтологические образцы и изучая древние культуры.</t>
  </si>
  <si>
    <t>Любовь к путешествиям и приключениям</t>
  </si>
  <si>
    <t>Ф.А. Абрамов</t>
  </si>
  <si>
    <t>1920-1983</t>
  </si>
  <si>
    <t>"Надо жить так, чтобы не было стыдно за прожитое."</t>
  </si>
  <si>
    <t>"Человек – это не просто тело, а душа, которая ищет свой путь."</t>
  </si>
  <si>
    <t>Участие в Великой Отечественной войне:</t>
  </si>
  <si>
    <t>Преподавательская деятельность:</t>
  </si>
  <si>
    <t>После войны Абрамов окончил филологический факультет Ленинградского государственного университета и долгие годы преподавал русскую литературу в Архангельском государственном педагогическом институте. Он был не только писателем, но и талантливым педагогом, воспитавшим не одно поколение филологов.</t>
  </si>
  <si>
    <t>Федор Абрамов был призван на фронт в 1942 году и служил в артиллерийской разведке. Он был тяжело ранен и контужен, что оставило след на его здоровье на всю жизнь. Этот опыт оказал огромное влияние на его мировоззрение и творчество.</t>
  </si>
  <si>
    <t>Романная трилогия "Братья и сестры":
Братья и сестры" (1958);"Путями-дорогами" (1961);"Две зимы и три лета" (1964)
Романная тетралогия "Пряслины":
"Безотцовщина" (1968);"Дом" (1971);"Почём фунт лиха" (1973);"Вселенная" (1975)
Повести:
"В чем душа держится" (1962);"Аука" (1969);"Последний поклон" (1970)</t>
  </si>
  <si>
    <t>А.А. Ахматова</t>
  </si>
  <si>
    <t>"Мужество — это не отсутствие страха, а способность действовать вопреки ему."</t>
  </si>
  <si>
    <t>"Я научилась просто, мудро жить,  Смотреть на небо и молиться Богу,  И долго перед вечером бродить,  Чтоб утомить ненужную тревогу."</t>
  </si>
  <si>
    <t>Настоящая фамилия – Горенко:</t>
  </si>
  <si>
    <t>Увлечение археологией:</t>
  </si>
  <si>
    <t>Анна Андреевна взяла псевдоним "Ахматова" в честь своей прабабушки по материнской линии, татарской княжны. Этот псевдоним стал ее визитной карточкой, но мало кто знает о ее истинном происхождении.</t>
  </si>
  <si>
    <t>Помимо поэзии, Анна Ахматова проявляла большой интерес к истории и археологии. Она участвовала в археологических раскопках в Крыму и даже была членом Русского археологического общества.</t>
  </si>
  <si>
    <t>"Вечер" (1912)
"Четки" (1914)
"Белая стая" (1917)
"Anno Domini MCMXXI" (1921)
"Реквием" (написана в 1935-1940 гг., опубликована в 1963 г. за рубежом, в СССР – в 1987 г.)
"Поэма без героя" (написана в 1940-1960 гг., опубликована в 1960 г.)</t>
  </si>
  <si>
    <t>А.Р. Беляев</t>
  </si>
  <si>
    <t>О.Ф. Берггольц</t>
  </si>
  <si>
    <t>1884-1942</t>
  </si>
  <si>
    <t>«Человек – это звучит гордо. Но человек – это и звучит страшно.»</t>
  </si>
  <si>
    <t>«Наука – это путь к познанию истины, но истина не всегда приятна.»</t>
  </si>
  <si>
    <t>Юрист по образованию, 
но писатель по призванию:</t>
  </si>
  <si>
    <t>Жизнь в Италии и влияние на творчество:</t>
  </si>
  <si>
    <t>Беляев получил юридическое образование и даже некоторое время работал по специальности, но его страсть к литературе и науке оказалась сильнее.  Он начал свою писательскую карьеру, работая в
газетах и журналах, где публиковал свои первые рассказы и статьи.</t>
  </si>
  <si>
    <t>Несколько лет Беляев провел в Италии, где работал в советском полпредстве. Этот период оказал значительное влияние на его мировоззрение и творчество, обогатив его впечатлениями от европейской культуры и научных достижений.</t>
  </si>
  <si>
    <t>«Голова профессора Доуэля» (1925)
«Человек-амфибия» (1928)
«Ариэль» (1941)
«Продавец воздуха» (1929)
«Звезда КЭЦ» (1936)
«Властелин мира» (1926)</t>
  </si>
  <si>
    <t>1910-1975</t>
  </si>
  <si>
    <t>Ольга Федоровна Берггольц (1910-1975) – выдающаяся советская поэтесса, чье имя неразрывно связано с героической и трагической страницей истории нашей страны – блокадой Ленинграда.</t>
  </si>
  <si>
    <t>"Я – ленинградка. Я – мать. Я – жена. Я – дочь. Я – сестра. Я – солдат. Я – работница. Я – поэтесса. Я – все!"</t>
  </si>
  <si>
    <t>"Не страшно умирать, страшно забыть."</t>
  </si>
  <si>
    <t>Арест и тюремное заключение:</t>
  </si>
  <si>
    <t>В 1938 году Ольга Берггольц была арестована по ложному обвинению и провела в тюрьме несколько месяцев. Этот опыт оставил глубокий след в ее творчестве и мировоззрении.</t>
  </si>
  <si>
    <t>Ольга Берггольц пережила потерю двоих детей. Первый ребенок умер вскоре после рождения, второй – в раннем детстве. Эта трагедия отразилась в ее стихах, полных боли и скорби.</t>
  </si>
  <si>
    <t>Потеря детей:</t>
  </si>
  <si>
    <t>"Зима идет" (1939) – сборник стихов.
"Ленинградская поэма" (1942) – поэма
"Февральский дневник" (1942) – цикл стихов
"Верность" (1943)
"Стихи" (1947)
"Ушаков" (1947)</t>
  </si>
  <si>
    <t>А.А.Блок</t>
  </si>
  <si>
    <t>1880-1921</t>
  </si>
  <si>
    <t>"И вечный бой! Покой сердце ищет. / Но вечный бой! Покой сердце тревожит..."</t>
  </si>
  <si>
    <t>"Мы – дети страшных лет России, Не знали мы иной судьбы."</t>
  </si>
  <si>
    <t>Увлечение оккультизмом и мистикой:</t>
  </si>
  <si>
    <t>Помимо своей литературной
деятельности, Блок активно интересовался мистическими учениями, теософией
и оккультизмом.</t>
  </si>
  <si>
    <t>Работа в Народном комиссариате просвещения:</t>
  </si>
  <si>
    <t>После Октябрьской революции Блок, несмотря на свои сложные отношения с новой властью, активно включился в культурную жизнь страны.</t>
  </si>
  <si>
    <t>Стихотворения:
"Ночь, улица, фонарь, аптека...";"Незнакомка";О доблестях, о подвигах, о славе;
Я помню чудное мгновенье..." ;На поле Куликовом;Девушка пела в церковном хоре
Поэмы:
Снежная маска;Незнакомка;Двенадцать;Соловьиный сад
Драматургия:
Балаганчик;Король на площади;Песнь судьбы
Публицистика и статьи: 
О современном состоянии русского символизма;Искусство и революция</t>
  </si>
  <si>
    <t>Н.В. Гоголь</t>
  </si>
  <si>
    <t>1809-1852</t>
  </si>
  <si>
    <t>"Что такое есть теперь человек? 
Это не то, что прежде: это не то, что
прежде, это не то, что прежде..."</t>
  </si>
  <si>
    <t>"Нет ничего лучше, как жить в деревне, где все просто и где нет никакой
 суеты."</t>
  </si>
  <si>
    <t>Гоголь 
и кулинария:</t>
  </si>
  <si>
    <t>Страх перед публичными выступлениями:</t>
  </si>
  <si>
    <t xml:space="preserve">Николай Васильевич был настоящим гурманом и ценителем вкусной еды. Он мог часами говорить о приготовлении блюд и даже сам любил готовить. Его письма часто содержали описания угощений и рецепты. </t>
  </si>
  <si>
    <t>Гоголь испытывал сильный страх перед публичными выступлениями и чтением своих произведений. Он часто болел перед важными мероприятиями, а его голос дрожал.</t>
  </si>
  <si>
    <t>Вечера на хуторе близ Диканьки
Петербургские повести
Миргород
Ревизор</t>
  </si>
  <si>
    <t>Презентации\Ellipse 143.png</t>
  </si>
  <si>
    <t>День города Пушкин – это не просто очередная дата в календаре, а настоящее событие, наполненное атмосферой истории, культуры и теплоты. Этот праздник посвящен городу, который подарил миру великого поэта Александра Сергеевича Пушкина, и каждый год он собирает вместе жителей и гостей, чтобы отпраздновать его уникальное наследие.</t>
  </si>
  <si>
    <t>День города Санкт-Петербург – это настоящий праздник, который отмечается ежегодно 27 мая. Это не просто выходной, а день, когда весь город оживает, наполняясь музыкой, смехом и яркими событиями.</t>
  </si>
  <si>
    <t>Презентации\Ellipse 143-1.png</t>
  </si>
  <si>
    <t>Презентации\2.png</t>
  </si>
  <si>
    <t>Презентации\3.png</t>
  </si>
  <si>
    <t>Презентации\Ellipse 143-2.png</t>
  </si>
  <si>
    <t>ДЕНЬ ГОРОДА САНКТ-ПЕТЕРБУРГ</t>
  </si>
  <si>
    <t>ДЕНЬ ГОРОДА ПУШКИН</t>
  </si>
  <si>
    <t>&lt;size=40&gt;Что это за день?&lt;/size&gt;
День города Пушкин, ранее известного как Царское Село, отмечается 29 июня. Этот праздник приурочен к годовщине основания города, которое произошло 24 июня 1710 года, когда Петр I подарил поместье будущей супруге Екатерине Алексеевне. В 1937 году город был переименован в Пушкин в честь столетия со дня смерти великого русского поэта.
&lt;size=40&gt;История праздника:&lt;/size&gt;
Основание Царского Села: 24 июня 1710 года Петр I подарил поместье "Саари Мойс" (ныне город Пушкин) будущей супруге Екатерине Алексеевне. Эта дата считается официальным днем рождения города.
Переименование в г. Пушкин: В 1937 году, в год столетия со дня смерти Александра Сергеевича Пушкина, город был переименован в Пушкин.
Пушкинский день в России: В 1880 году в России впервые отметили Пушкинский день, приуроченный к открытию памятника поэту. Торжества, запланированные на день рождения Пушкина, были перенесены на 6 июня из-за траура по императрице Марии Александровне.
Совмещение с Днем русского языка: С 2011 года Пушкинский день совпадает с Днем русского языка, что подчеркивает значимость Пушкина как основоположника современного русского литературного языка.
В этот день в Пушкине традиционно проводятся праздничные гуляния, концерты, интерактивные детские площадки, ярмарки и другие развлечения.
&lt;size=40&gt;Почему стоит посетить День города Пушкин?&lt;/size&gt;
Это прекрасная возможность окунуться в атмосферу одного из самых красивых и исторически значимых городов России. Вы сможете не только насладиться праздничными мероприятиями, но и прикоснуться к наследию великого поэта, прогуляться по живописным паркам и улицам, почувствовать особую энергетику этого места. День города Пушкин – это праздник, который дарит яркие эмоции, новые впечатления и ощущение причастности к чему- то особенному.</t>
  </si>
  <si>
    <t>&lt;size=40&gt;История появления:&lt;/size&gt;
Санкт-Петербург был основан 27 мая (16 мая по старому стилю) 1703 года Петром I. В этот день на Заячьем острове была заложена Петропавловская крепость, ставшая ядром будущего города. На протяжении всей истории Санкт-Петербурга, начиная с петровских времен, существовали различные формы празднования важных дат, связанных с городом. Однако единого, официально установленного "Дня города" как такового не было. В преддверии 300-летия Санкт-Петербурга в начале 2000-х годов возникла идея придать празднованию особую торжественность и сделать его ежегодным. Это было связано с желанием подчеркнуть значимость города в истории России и его культурное наследие. В 2003 году, в рамках празднования 300-летия Санкт-Петербурга, было принято решение сделать 27 мая официальным ежегодным праздником – Днем города. Это решение было закреплено на законодательном уровне.</t>
  </si>
  <si>
    <t>НОВЫЙ ГОД</t>
  </si>
  <si>
    <t>23 ФЕВРАЛЯ</t>
  </si>
  <si>
    <t>8 МАРТА</t>
  </si>
  <si>
    <t>НЕДЕЛЯ ДЕТСКОЙ КНИГИ</t>
  </si>
  <si>
    <t>1 СЕНТЯБРЯ</t>
  </si>
  <si>
    <t>Презентации\Ellipse 143-3.png</t>
  </si>
  <si>
    <t>Презентации\Ellipse 143-4.png</t>
  </si>
  <si>
    <t>Презентации\Ellipse 143-5.png</t>
  </si>
  <si>
    <t>Презентации\Ellipse 143-6.png</t>
  </si>
  <si>
    <t>Презентации\Ellipse 143-7.png</t>
  </si>
  <si>
    <t>Презентации\Ellipse 143-8.png</t>
  </si>
  <si>
    <t>НАЧАЛО БЛОКАДЫ ЛЕНИНГРАДА – 8 СЕНТЯБРЯ 1941 ГОДА</t>
  </si>
  <si>
    <t>Новый год — один из самых любимых праздников во многих странах мира, отмечаемый в ночь с 31 декабря на 1 января. Его традиции включают встречу с близкими, праздничный ужин, фейерверки и подарки. Символами праздника часто являются ёлка, Дед Мороз (или Санта-Клаус) и новогодние огни. Этот день символизирует окончание старого года и начало нового, а также надежду на позитивные перемены.</t>
  </si>
  <si>
    <t>&lt;size=40&gt;Новый год: 31 декабря&lt;/size&gt;
Новый год — один из самых ярких и любимых праздников, отмечаемый &lt;b&gt;31 декабря&lt;/b&gt; во многих странах мира. Этот праздник знаменует окончание старого года и начало нового, а его традиции варьируются в зависимости от культуры. В России и многих других странах Новый год ассоциируется с ёлкой, праздничными огнями, подарками и семейными застольями. 
В ночь с 31 декабря на 1 января люди собираются с близкими, готовят особые блюда (например, оливье в России) и обмениваются подарками. В полночь во многих странах запускают &lt;b&gt;фейерверки&lt;/b&gt;, а также загадывают желания под бой курантов или других часов. 
Новый год также имеет глубокий символический смысл: он олицетворяет надежду на обновление, успех и счастье в наступающем году. В разных культурах его празднуют по-разному: например, в Испании принято съедать &lt;i&gt;12 виноградин&lt;/i&gt; под бой часов, а в Японии — посещать храмы. 
Несмотря на различия, суть праздника остаётся общей: это время радости, единения и веры в лучшее.</t>
  </si>
  <si>
    <t>23 февраля в России отмечается День защитника Отечества. Этот праздник берет начало с 1918 года, когда были созданы Рабоче-крестьянская Красная армия и флот. Сегодня это день чествования всех военнослужащих и ветеранов, а также праздник, который широко отмечается как день мужчин. Традиционно в этот день проводят торжественные мероприятия и вручают подарки.</t>
  </si>
  <si>
    <t>&lt;size=40&gt;23 февраля: День защитника Отечества&lt;/size&gt;
23 февраля в России отмечается государственный праздник — День защитника Отечества. Его история начинается с 1918 года, когда в этот день были созданы Рабоче-крестьянская Красная армия и флот. 
Изначально праздник носил военно-патриотический характер и был посвящен военнослужащим. Со временем он трансформировался в день, когда чествуют не только действующих военных и ветеранов, но и всех мужчин. 
Традиционно в этот день проводятся торжественные мероприятия, возложения цветов к памятникам воинам, праздничные концерты и салюты. Во многих семьях принято дарить подарки мужчинам всех возрастов. 
Праздник имеет глубокий символический смысл, мужество, доблесть и верность долгу. Он остается одним из самых уважаемых праздников в России, объединяющим разные поколения.</t>
  </si>
  <si>
    <t>8 марта отмечается Международный женский день — праздник весны, красоты и женственности. В этот день принято чествовать женщин, дарить им цветы и подарки. Праздник имеет исторические корни в движении за права женщин, а сегодня символизирует уважение и признание заслуг женщин во всех сферах жизни.</t>
  </si>
  <si>
    <t>Неделя детской книги — ежегодный всероссийский праздник, посвященный детской литературе и чтению. Традиционно проводится весной, начиная с 1943 года. В рамках недели организуют встречи с писателями, выставки новых книг, литературные конкурсы и мастер-классы. Мероприятие направлено на популяризацию чтения среди детей и подростков.</t>
  </si>
  <si>
    <t>&lt;size=40&gt;8 марта: Международный женский день&lt;/size&gt;
Международный женский день, отмечаемый &lt;b&gt;8 марта&lt;/b&gt;, имеет глубокие исторические корни, связанные с борьбой женщин за свои права. Первоначально этот день был посвящен требованиям равноправия и улучшения условий труда.
В современном мире праздник трансформировался в &lt;b&gt;день весны и красоты&lt;/b&gt;, когда особое внимание уделяется всем женщинам — матерям, женам, дочерям, коллегам. Традиционно в этот день дарят &lt;b&gt;цветы&lt;/b&gt; (особенно мимозы и тюльпаны), открытки и подарки.
В разных странах сложились свои традиции празднования. В России 8 марта является &lt;b&gt;официальным выходным днем&lt;/b&gt;, что позволяет полноценно отметить этот праздник в кругу семьи. Многие предприятия организуют корпоративные мероприятия, а в учебных заведениях проводят концерты и утренники.
Праздник сохраняет свой первоначальный смысл, напоминая о важности &lt;b&gt;гендерного равенства&lt;/b&gt; и уважения к женщинам, их роли в обществе и семье.</t>
  </si>
  <si>
    <t>&lt;size=40&gt;Неделя детской книги&lt;/size&gt;
&lt;b&gt;Неделя детской книги&lt;/b&gt; — ежегодный всероссийский праздник, посвященный детской литературе и чтению. Традиция проведения возникла в &lt;b&gt;1943 году&lt;/b&gt; по инициативе писателя Льва Кассиля. Первые мероприятия прошли в Москве под названием «Книжкины именины».
В течение недели в библиотеках, школах и книжных магазинах по всей России организуются &lt;b&gt;специальные мероприятия&lt;/b&gt;: встречи с детскими писателями и иллюстраторами, презентации новых книг, литературные викторины и творческие конкурсы. Особое внимание уделяется &lt;b&gt;популяризации чтения&lt;/b&gt; среди подрастающего поколения.
Неделя детской книги обычно проводится &lt;b&gt;весной&lt;/b&gt;, часто совпадает с школьными каникулами. Это позволяет максимально вовлечь детей в увлекательный мир литературы. Мероприятия праздника помогают развивать у детей &lt;b&gt;любовь к чтению&lt;/b&gt;, творческое мышление и культурную грамотность.
С годами традиция только укрепляется, приобретая новые форматы — от цифровых презентаций до интерактивных литературных квестов.</t>
  </si>
  <si>
    <t xml:space="preserve">1 сентября в России и многих странах СНГ отмечается День знаний — официальное начало учебного года. В этот день во всех образовательных учреждениях проходят торжественные линейки, уроки мира и первые занятия. </t>
  </si>
  <si>
    <t>&lt;size=40&gt;1 сентября: День знаний&lt;/size&gt;
&lt;b&gt;1 сентября&lt;/b&gt; — важный праздник в России и странах СНГ, знаменующий начало нового учебного года. Традиционно в этот день во всех школах, колледжах и вузах проводятся &lt;b&gt;торжественные линейки&lt;/b&gt;, где особое внимание уделяется первоклассникам.
Праздник имеет глубокий символический смысл: он олицетворяет стремление к знаниям, интеллектуальное развитиве и новые личностные качества. В этот день принято дарить учителям цветы, а для учащихся проводятся &lt;b&gt;уроки мира&lt;/b&gt; и первые ознакомительные занятия.
Исторически 1 сентября как единая дата начала учебного года была установлена в СССР в &lt;b&gt;1935 году&lt;/b&gt;. С 1984 года этот день официально стал праздником — Днём знаний. 
Современные традиции включают не только официальные мероприятия, но и неофициальные празднования, когда родители поздравляют детей с началом учебного года. Для многих это день встречи с одноклассниками и учителями после летних каникул.</t>
  </si>
  <si>
    <t>8 сентября 1941 года началась блокада Ленинграда немецко-фашистскими войсками, которая продлилась 872 дня и стала одной из самых трагических страниц Великой Отечественной войны. Город был полностью окружен, что привело к катастрофическому голоду, массовой гибели мирного населения и беспримерному героизму защитников и жителей Ленинграда.</t>
  </si>
  <si>
    <t>&lt;size=40&gt;Начало блокады Ленинграда&lt;/size&gt;
&lt;b&gt;8 сентября 1941 года&lt;/b&gt; немецко-фашистские войска полностью блокировали Ленинград, замкнув кольцо окружения. Эта дата стала началом одной из самых трагических и героических страниц в истории Великой Отечественной войны.
Блокада продлилась &lt;color=red&gt;872 дня&lt;/color&gt; — до 27 января 1944 года. За это время в городе погибло от голода, холода и бомбежек по разным оценкам от &lt;b&gt;600 тысяч до 1,5 миллиона&lt;/b&gt; человек. Особенно тяжелой была первая блокадная зима 1941-1942 годов, когда норма выдачи хлеба составляла всего &lt;color=orange&gt;125 грамм&lt;/color&gt; для иждивенцев.
Несмотря на нечеловеческие условия, ленинградцы продолжали работать на заводах, выпускавших военную продукцию, сохраняли культурное наследие города. Единственной связью с Большой землей стала &lt;b&gt;Дорога жизни&lt;/b&gt; — ледовая трасса через Ладожское озеро.
Подвиг защитников и жителей блокадного Ленинграда стал символом беспримерного мужества и стойкости советского народа в борьбе с фашизмом.</t>
  </si>
  <si>
    <t>Презентации\RIAN_archive_907_Leningradians_queueing_up_for_water.jpg</t>
  </si>
  <si>
    <t>Презентации\12445175.jpeg</t>
  </si>
  <si>
    <t>Презентации\1200_6594510f82682c3ca3691214.jpg</t>
  </si>
  <si>
    <t>Презентации\1848741986_0_309_3091_2048_1920x1080_80_0_0_923f4134c5fd05243b2325e9272234ca.jpg</t>
  </si>
  <si>
    <t>Презентации\Zs3bxT_cz0k.jpg</t>
  </si>
  <si>
    <t>Презентации\1920x1281_0xeq5xGBHi_1378709004847686791.jpg</t>
  </si>
  <si>
    <t>9 мая</t>
  </si>
  <si>
    <t>Примечание: если значение в столбце Дата, пустое, то строка не отображается в приложении</t>
  </si>
  <si>
    <t>Величайший русский поэт, драматург и прозаик, создатель современного русского литературного языка. Родился в Москве в дворянской семье. Его раннее детство прошло в атмосфере французской культуры и русских народных сказок, рассказанных няней Ариной Родионовной. Обучение в Царскосельском лицее (1811-1817) сформировало его как поэта и подарило верных друзей. Уже тогда его талант был признан корифеями, like Державин. За вольнодумные стихи и эпиграммы был сослан сначала на юг (Кавказ, Крым, Кишинёв, Одесса), где написал романтические поэмы «Кавказский пленник» и «Бахчисарайский фонтан», а затем в имение матери Михайловское. В Михайловском, в уединении, его творчество стало более глубоким: он начал работу над «Евгением Онегиным», написал трагедию «Борис Годунов». Был помилован императором Николаем I, который лично стал его цензором. После ссылки, в 1830-е годы, проявил себя как блестящий прозаик («Повести Белкина», «Пиковая дама», «Капитанская дочка»). Женился на красавице Наталье Гончаровой, что привело к конфликту с высшим светом и интригам вокруг его жены. Защищая свою честь, вызвал на дуэль французского кавалергарда Дантеса и был смертельно ранен. Его смерть стала национальной трагедией.</t>
  </si>
  <si>
    <t>Поэт, переводчик, основоположник русского романтизма. Внебрачный сын помещика А. И. Бунина и пленной турчанки Сальхи, что определило его положение в обществе. Получил дворянство благодаря усыновлению. Учился в Благородном пансионе при Московском университете. Широкую известность ему принесло первое крупное произведение — элегия «Сельское кладбище» (1802), являвшаяся вольным переводом Томаса Грея. Мастер элегий и баллад («Людмила», «Светлана»), которые он часто создавал на основе европейских сюжетов, наполняя их русским фольклорным колоритом. Был близок ко двору: с 1815 года служил чтецом при вдовствующей императрице Марии Фёдоровне, а с 1826 по 1841 год был воспитателем наследника престола, будущего императора Александра II, оказав на него значительное либеральное влияние. Как переводчик совершил настоящий подвиг, создав классические переводы «Одиссеи» Гомера и баллад Шиллера и Гёте. Был духовным наставником и добрым гением для Пушкина, не раз ходатайствуя за него перед царём. В конце жизни переехал в Германию, где женился.</t>
  </si>
  <si>
    <t>Советский и российский писатель, киносценарист, общественный деятель. Участник Великой Отечественной войны, прошёл её от начала до конца танкистом. Окончил Ленинградский политехнический институт. В своих произведениях часто обращался к темам науки и морального выбора учёного («Иду на грозу», «Зубр» — документальная повесть о biologist Н. В. Тимофееве-Ресовском). Один из авторов и инициаторов создания памятной «Блокадной книги» (в соавторстве с А. Адамовичем), основанной на документах и воспоминаниях ленинградцев. В поздние годы активно выступал как публицист и хранитель памяти о войне и блокаде. Был лауреатом государственных премий.</t>
  </si>
  <si>
    <t>Писатель-неоромантик, создатель вымышленной страны «Гринландия». Родился в Вятской губернии в семье ссыльного поляка. С юности был связан с революционными эсерами, неоднократно арестовывался и был в ссылке. Его первые рассказы были реалистичными, но soon он нашёл свою тему — романтику мечты и приключений. Его произведения («Алые паруса», «Бегущая по волнам», «Золотая цепь») переносят читателя в мир портовых городов, смелых капитанов и отважных героинь. Его творчество — это побег от суровой действительности начала XX века в мир, где чудеса возможны, а мечты сбываются. Не вписывался в советскую литературную обойму, долгое время был издаваемым, но «неофициальным» писателем. Умер от рака желудка в полной нищете и забвении в Старом Крыму.</t>
  </si>
  <si>
    <t>Поэт Серебряного века, создатель школы акмеизма, критик, переводчик, путешественник. Муж Анны Ахматовой. Родился в Кронштадте в семье корабельного врача. Учился в Царскосельской гимназии, директором которой был поэт И. Анненский, оказавший на него влияние. Его поэзия мужественна, романтична и экзотична. Много путешествовал по Африке, собирая этнографические коллекции. Добровольцем ушёл на фронт Первой мировой войны, стал георгиевским кавалером. Акмеизм, созданный им как альтернатива символизму, провозглашал возврат к «прекрасной ясности» и предметному миру. После революции остался в Советской России, работал в издательстве «Всемирная литература». В 1921 году был арестован по сфабрикованному обвинению в участии в контрреволюционном «Таганцевском заговоре» и расстрелян. Его творчество было запрещено вплоть до перестройки.</t>
  </si>
  <si>
    <t>Крупнейший поэт русского классицизма эпохи Просвещения и видный государственный деятель. Родился в небогатой дворянской семье под Казанью. Службу начал простым солдатом в Преображенском полку и участвовал в дворцовом перевороте 1762 года, возведшем на престол Екатерину II. Путь к славе был долгим, и известность пришла к нему лишь после публикации в 1782 году оды «Фелица», восхваляющей императрицу. Его торжественные оды («Бог», «Водопад») сочетали в себе высокий стиль с личными интонациями. При Екатерине II занимал posts губернатора в Олонецкой и Тамбовской губерниях, где проявил себя как принципиальный и активный администратор, что вызывало конфликты с местной знатью. Был личным секретарём императрицы, но и на этом посту его прямолинейность привела к отставке. При Александре I стал первым в истории России министром юстиции и генерал-прокурором (1802-1803). Уйдя в отставку, посвятил себя литературе. Его творчество, нарушавшее строгие каноны классицизма, открыло дорогу для поэзии Жуковского и Пушкина.</t>
  </si>
  <si>
    <t>Писатель, мыслитель, философ и публицист. Один из самых читаемых и влиятельных романистов в мире. Родился в Москве в семье врача Мариинской больницы для бедных. Учился в Военно-инженерном училище в Петербурге. Уже первый роман «Бедные люди» (1846) был высоко оценён Белинским. Участие в социалистическом кружке петрашевцев закончилось арестом, инсценировкой смертной казни на Семёновском плацу и четырьмя годами каторги в Омском остроге. Этот опыт стал переломным: он отошёл от социалистических идей и обратился к почвенничеству и православию. После каторги и ссылки написал «Записки из Мёртвого дома». В 1860-70-е годы создал свои великие романы: «Преступление и наказание», «Идиот», «Бесы», «Подросток», «Братья Карамазовы». Вместе с братом издавал журналы «Время» и «Эпоха». Его творчество глубоко исследует темные и светлые стороны человеческой души, проблемы свободы, греха, искупления и веры. Оказал colossal влияние на мировую философию и литературу XX века.</t>
  </si>
  <si>
    <t>Советский учёный-палеонтолог, доктор биологических наук, писатель-фантаст, социальный мыслитель. Родился в деревне под Петербургом. С юности участвовал в палеонтологических экспедициях. Основатель новой научной дисциплины — тафономии (изучение закономерностей захоронения ископаемых остатков). В литературу пришёл зрелым человеком. В своих научно-фантастических романах («Туманность Андромеды», «Час Быка», «Лезвие бритвы») создал утопическую картину будущего коммунистического общества, объединившего всю Землю и вышедшего в космос. Его творчество сочетает scientific accuracy с философскими размышлениями о путях развития цивилизации, этике и месте человека во Вселенной. Его социальные прогнозы и предостережения (like в «Часе Быка») часто были неудобны для советской власти.</t>
  </si>
  <si>
    <t>Русский советский писатель, литературовед, публицист. Один из крупнейших представителей «деревенской прозы». Родился в архангельской деревне Веркола в крестьянской семье. Участник Великой Отечественной войны, был тяжело ранен. Окончил филологический факультет Ленинградского университета. Его главный work — тетралогия «Братья и сестры» (романы «Братья и сестры», «Две зимы и три лета», «Пути-перепутья», «Дом») — эпическое повествование о жизни северной деревни Пекашино в военные и послевоенные годы. В своих произведениях и публицистических статьях правдиво и без прикрас, с огромной болью показывал тяжелую жизнь колхозной деревни, разрушение традиционного уклада и народной нравственности. Его творчество — это гимн крестьянскому труду и реквием по уходящей русской деревне.</t>
  </si>
  <si>
    <t>Одна из величайших русских поэтесс XX века, переводчица, литературовед. Примыкала к акмеизму. Родилась под Одессой в семье инженера-механика флота. Её ранняя лирика («Вечер», «Чётки») — это интимный, камерный мир любви и переживаний. После революции отказалась эмигрировать, оставшись с «родной землёй». Её судьба стала олицетворением трагедии целого поколения: первый муж, поэт Николай Гумилёв, был расстрелян, сын Лев Гумилёв многократно арестовывался, третий муж умер в лагере. Её голос зазвучал с новой, эпической силой в Requiemе (1935-1940) — поэме-памятнике всем жертвам сталинского террора. В годы войны написала патриотические стихи. В поздний период создала сложную, многослойную «Поэму без героя». Её поэзия — символ стойкости, достоинства и сохранения культурной памяти в невыносимых условиях.</t>
  </si>
  <si>
    <t>Основоположник советской научной фантастики. Родился в Смоленске в семье священника. По образованию юрист. В молодости переболел туберкулёзом позвоночника, который на несколько лет приковал его к постели. Этот опыт отразился на его творчестве: тема преодоления болезни, изоляции и торжества человеческого духа стала central для многих его романов («Голова профессора Доуэля»). Его самые известные works — «Человек-амфибия», «Ариэль», «Прыжок в ничто» — сочетают научную гипотезу (часто из области биологии) с острым социальным и психологическим конфликтом. В своих произведениях he предвосхитил появление акваланга, орбитальных станций и многого другого. Умер от голода в оккупированном немцами Пушкине.</t>
  </si>
  <si>
    <t>Ведущий поэт Серебряного века, представитель и классик русского символизма. Родился в Петербурге в профессорской семье. Внук известного ботаника А. Н. Бекетова. Его ранняя поэзия — мистический и возвышенный цикл «Стихи о Прекрасной Даме», навеянный идеями Владимира Соловьёва и любовью к будущей жене Любови Менделеевой. Постепенно его поэзия стала более земной и трагической, отражая катастрофизм эпохи (циклы «Город», «Страшный мир»). Революцию 1917 года воспринял неоднозначно, но saw в ней очистительную стихию, что отразилось в знаковой поэме «Двенадцать» (1918), где образ Христа во главе красногвардейского патруля вызвал бурные споры. Также написал лирическую поэму «Скифы». Творчество Блока — это грандиозное по своей мощи и красоте ощущение мистического и трагического духа своего времени. Он стал связующим звеном между классической и советской литературой. Умер от истощения и болезни в голодном Петрограде.</t>
  </si>
  <si>
    <t>Прозаик, драматург, критик, публицист, классик мировой литературы. Родился в местечке Великие Сорочинцы Полтавской губернии в семье помещика. После петербургской чиновничьей службы, разочаровавшей его, обрёл fame благодаря сборнику украинских повестей «Вечера на хуторе близ Диканьки» (1831-1832). Его петербургские повости («Нос», «Шинель») сочетают реализм с гротеском и фантасмагорией. Вершинами творчества стали комедия «Ревизор» (1836), высмеивающая чиновничий произвол, и поэма-роман «Мёртвые души» (1-й том, 1842), ставшая беспощадной сатирой на крепостническую Русь. После жёсткой критики «Выбранных мест из переписки с друзьями» (1847), где он пытался дать положительные идеалы, Гоголь пережил глубокий духовный кризис. Под влиянием проповедей протоиерея Матфея Константиновского он совершил роковой поступок — сжёг почти готовый второй том «Мёртвых душ». Через несколько дней, истощённый физически и духовно, он скончался. Творчество Гоголя положило начало «натуральной школе» и оказало огромное influence на всю последующую литературу.</t>
  </si>
  <si>
    <t>Н.М. Карамзин</t>
  </si>
  <si>
    <t>1766–1826</t>
  </si>
  <si>
    <t>Выдающийся историк, писатель, реформатор русского языка. Родился в дворянской семье в Симбирской губернии. Получил образование в Москве. В конце 1780-х годов сблизился с масонами, но быстро разочаровался в них. Совершил путешествие по Европе, результатом которого стали «Письма русского путешественника» — произведение, ставшее образцом русского сентиментализма. Его повесть «Бедная Лиза» (1792) имела оглушительный успех. Основал influential литературные журналы «Московский журнал» и «Вестник Европы». Главным делом его жизни, по указу Александра I, стало написание «Истории государства Российского». 12 томов этого труда, над которым он работал более двух десятилетий, стали не только научным, но и общественным событием, впервые представившим широкой публике связную и художественно изложенную историю страны. Карамзин сознательно отказался от церковнославянизмов в пользу живого языка, обогатив русскую речь неологизмами like «влюблённость», «промышленность», «трогательный». Был сторонником просвещённой монархии и идеи сильной центральной власти.</t>
  </si>
  <si>
    <t xml:space="preserve">М.Ю. Лермонтов </t>
  </si>
  <si>
    <t>1814–1841</t>
  </si>
  <si>
    <t>Поэт, прозаик, драматург, художник, ключевая фигура русского романтизма. Родился в Москве, воспитывался бабушкой Е. А. Арсеньевой в имении Тарханы. Получил прекрасное домашнее образование, свободно владел французским и немецким. Учился в Московском университете, но не закончил его, переехав в Петербург и поступив в Школу гвардейских подпрапорщиков. Вся литературная слава пришла к нему мгновенно после стихотворения «Смерть поэта» (1837), гневного отклика на гибель Пушкина. Строки «а вы, надменные потомки...» вызвали гнев царя и первую ссылку на Кавказ в действующую армию. Кавказская природа и культура profoundly повлияли на его творчество (поэмы «Мцыри», «Демон»). Вершиной его прозы стал психологический роман «Герой нашего времени» (1840) с его главным антигероем Печориным. Вторая дуэль с сыном французского посла Н. С. Мартыновым из-за пустяковой ссоры в Пятигорске оборвала его жизнь. Его творчество, проникнутое мотивами одиночества, бунта и тоски, стало одним из вершинных достижений русской литературы.</t>
  </si>
  <si>
    <t>Ф.И. Тютчев</t>
  </si>
  <si>
    <t>1803–1873</t>
  </si>
  <si>
    <t>Поэт-мыслитель, дипломат, мастер философской и пейзажной лирики. Представитель золотого века русской поэзии. Родился в родовой усадьбе Овстуг Орловской губернии. Получил блестящее домашнее образование, окончил Московский университет. Более 20 лет провёл на дипломатической службе в Мюнхене и Турине. Был старшим современником Пушкина, публиковался в его «Современнике», но долгое время оставался «поэтом для поэтов», известным лишь в узких кругах. Широкая fame пришла к нему лишь в 1850-е годы. Его лирика — это глубинное созерцание природы и космоса, соединённое с размышлениями о месте человека в мироздании («Весенняя гроза», «Есть в осени первоначальной...»). Автор политических стихов и знаменитого четверостишия «Умом Россию не понять...». Был ярким панславистом. Его личная жизнь была полна драматизма и глубоких чувств (любовь к Е. Денисьевой, так называемый «денисьевский цикл» стихов). Творчество Тютчева повлияло на символистов и всю последующую философскую поэзию.</t>
  </si>
  <si>
    <t>И.С. Тургенев</t>
  </si>
  <si>
    <t>1818–1883</t>
  </si>
  <si>
    <t>Писатель-реалист, поэт, публицист, драматург. Классик русской и мировой литературы. Родился в Орле в богатой дворянской семье. Детство прошло в материнском имении Спасское-Лутовиново, где он увидел все ужасы крепостного права, что сформировало его антикрепостнические views. Окончил Петербургский университет и Берлинский университет. Прославился циклом рассказов «Записки охотника» (1847-1852), который, по словам современников, склонил общественное мнение в пользу отмены крепостного права. Автор социально-психологических романов «Рудин», «Дворянское гнездо», «Накануне», «Отцы и дети», в которых отразил идейную борьбу разных поколений и emergence разночинцев. Большую часть жизни провёл за границей, был пропагандистом русской литературы на Западе и посредником между русской и европейской культурами. Был в сложных, часто конфликтных отношениях с Толстым и Достоевским. Его творчество характеризуется тонким психологизмом, лиризмом и любовью к русской природе.</t>
  </si>
  <si>
    <t>Поэт, прозаик, публицист, influential редактор. Родился в семье мелкопоместного дворянина, детство прошло в ярославском имении Грешнево на Волге, где он наблюдал тяжелую жизнь крестьян и барскую жестокость отца. Поступив в Петербургский университет против воли отца, остался без средств к существованию, что закалило его характер. Прошёл путь от литературного подёнщика до успешного издателя. Более 30 лет редактировал ведущие журналы «Современник» и «Отечественные записки», открыв миру Тургенева, Толстого, Достоевского, Чернышевского. Его поэзия была гражданственна и социально ориентирована, он стал настоящим «печальником» народа («В дороге», «Размышления у парадного подъезда»). Вершиной творчества стала поэма-эпопея «Кому на Руси жить хорошо». Ввёл в поэзию народный язык и фольклорные мотивы. Был brilliant организатором литературного процесса своей эпохи.</t>
  </si>
  <si>
    <t>1821-1877</t>
  </si>
  <si>
    <t>Н.А. Некрасов</t>
  </si>
  <si>
    <t>Н.С. Лесков</t>
  </si>
  <si>
    <t>Писатель, публицист, критик, непревзойдённый мастер сказа. Родился в Орловской губернии в семье следователя. Не получив систематического образования, служил чиновником, много разъезжал по России, что дало ему богатейший материал для будущих произведений. В литературу пришёл relatively поздно. Прославился повестями «Левша» (сказ о тульском мастере), «Леди Макбет Мценского уезда» (трагедия страсти), романом-хроникой «Соборяне». Создал галерею «праведников» — положительных национальных характеров, носителей исконной народной нравственности («Очарованный странник»). Его проза отличается глубоким знанием народного языка, быта и раскола. Часто конфликтовал с литераторами-демократами из-за несходства взглядов. При жизни его творчество не было fully оценено, но в XX веке его признали одним из самых виртуозных стилистов в русской литературе.</t>
  </si>
  <si>
    <t>1831-1895</t>
  </si>
  <si>
    <t>О.Э. Мандельштам</t>
  </si>
  <si>
    <t>1891-1938</t>
  </si>
  <si>
    <t>Поэт, прозаик, переводчик, эссеист, один из крупнейших представителей акмеизма. Родился в Варшаве в еврейской купеческой семье. Детство и юность прошли в Петербурге и Павловске. Учился в Сорбонне и Гейдельбергском университете. Его поэзия отличается культурологическими аллюзиями, сложными метафорами и ощущением «тоски по мировой культуре». В 1933 году написал резко антисталинское эпиграмму («Мы живём, под собою не чуя страны...»), которую прочёл в кругу знакомых. После доноса был арестован и сослан в Чердынь, затем в Воронеж. После окончания срока ссылки ему было запрещено жить в столицах. Повторно арестован в 1938 году. Умер в пересыльном лагере под Владивостоком. Его творчество, сохранившееся во многом благодаря heroic усилиям его жены Надежды Яковлевны, было запрещено в СССР до конца 1960-х годов.</t>
  </si>
  <si>
    <t>В.В. Маяковский</t>
  </si>
  <si>
    <t>1893-1930</t>
  </si>
  <si>
    <t>Поэт-футурист, драматург, художник, киносценарист, ключевая фигура русского авангарда. Родился в Грузии. Участвовал в революционной деятельности, сидел в тюрьме. Стал одним из лидеров футуристов, провозглашавших разрыв с классической традицией. После 1917 года стал ярым певцом революции и советской власти («Левый марш», «Мистерия-буфф»). Создатель новаторской «лесенки» в поэзии. Работал в «Окнах РОСТА», создавая агитационные плакаты. Его творчество 1920-х годов многогранно: это и лирика (поэма «Про это»), и сатира (пьесы «Клоп», «Баня»), и агитка, и реклама. Активно путешествовал за границу. К концу 1920-х годов стал испытывать разочарование и творческий кризис, столкнувшись с бюрократизмом и травлей. Его сложные личные отношения также加重ли положение. Покончил жизнь самоубийством, что стало шоком для страны. Его творчество было канонизировано советской властью как образцовое.</t>
  </si>
  <si>
    <t>Д.Н. Мамин-Сибиряк</t>
  </si>
  <si>
    <t>1852-1912</t>
  </si>
  <si>
    <t>Писатель-прозаик, драматург. Родился на Урале в семье заводского священника. Учился в духовной семинарии и на медицинском и юридическом факультетах. Вернулся на Урал, чтобы посвятить себя литературе. Известен своими романами и рассказами о жизни и нравах Урала и Сибири периода бурного развития капитализма («Приваловские миллионы», «Горное гнездо», «Золото»). В своих works правдиво и детально изображал процесс освоения природных богатств, жизнь рабочих, купцов-промышленников и старообрядцев. Также автор прекрасных, полных любви и warmth произведений для детей («Алёнушкины сказки», «Серая шейка»). Его творчество — это масштабная социальная летопись уральского региона.</t>
  </si>
  <si>
    <t>Советский писатель-сатирик, драматург, сценарист. Родился в Полтаве в дворянской семье. Участник Первой мировой войны (был ранен и отравлен газами) и Гражданской войны. Прославился в 1920-е годы сатирическими рассказами, где повествование ведется от лица необразованного, мещанского героя, язык которого насыщен просторечиями и абсурдными оборотами («аристократка», «баня»). Его юмор высмеивал мещанство, бюрократизм и пережитки прошлого в советском быту. Однако его сатира increasingly воспринималась властью как клевета на советскую действительность. Кульминацией стала публикация повести «Перед восходом солнца» и жестокое партийное постановление 1946 года, в котором его и Ахматову травмировали. Его исключили из Союза писателей, лишили средств к существованию и перестали печатать. Это сломало его и как писателя, и как человека. Был partially реабилитирован после смерти Сталина.</t>
  </si>
  <si>
    <t>1894-1958</t>
  </si>
  <si>
    <t>М.М. Зощенко</t>
  </si>
  <si>
    <t>«Патриотизм не должен ослеплять нас; любовь к Отечеству есть действие ясного рассудка, а не слепая страсть»</t>
  </si>
  <si>
    <t>Карамзин стал первым писателем в России, который привнёс в литературу сентиментализм. Его повесть Бедная Лиза (1792) вызвала огромный отклик у современников и сделала автора невероятно популярным.</t>
  </si>
  <si>
    <t>Создатель "русской сентиментальной прозы"</t>
  </si>
  <si>
    <t>Историк при дворе императора</t>
  </si>
  <si>
    <t>Карамзин был официальным историографом России. По поручению Александра I он написал Историю государства Российского (1818–1826), которая оказала колоссальное влияние на политику и самосознание общества XIX века.</t>
  </si>
  <si>
    <t>Письма русского путешественника 1791
Бедная Лиза 1792
Наталья боярская дочь 1792
Моя исповедь 1792
Остров Борнгольм 1793
Сиерра Морена 1794
История государства Российского 1818</t>
  </si>
  <si>
    <t>"История в известном смысле есть священная книга народов главная необходимая книга"</t>
  </si>
  <si>
    <t>Пророчество собственной судьбы</t>
  </si>
  <si>
    <r>
      <t xml:space="preserve">В юности Лермонтов написал стихотворение </t>
    </r>
    <r>
      <rPr>
        <i/>
        <sz val="11"/>
        <color theme="1"/>
        <rFont val="Calibri"/>
        <family val="2"/>
        <scheme val="minor"/>
      </rPr>
      <t>Предсказание</t>
    </r>
    <r>
      <rPr>
        <sz val="11"/>
        <color theme="1"/>
        <rFont val="Calibri"/>
        <family val="2"/>
        <scheme val="minor"/>
      </rPr>
      <t>, где описал гибель поэта от руки убийцы. Спустя годы его жизнь трагически оборвалась на дуэли — и это предсказание стало символичным.</t>
    </r>
  </si>
  <si>
    <t>"Второй Пушкин" своего времени</t>
  </si>
  <si>
    <r>
      <t xml:space="preserve">После гибели Александра Пушкина именно Лермонтов стал считаться главным поэтом России. Его стихотворение </t>
    </r>
    <r>
      <rPr>
        <i/>
        <sz val="11"/>
        <color theme="1"/>
        <rFont val="Calibri"/>
        <family val="2"/>
        <scheme val="minor"/>
      </rPr>
      <t>Смерть поэта</t>
    </r>
    <r>
      <rPr>
        <sz val="11"/>
        <color theme="1"/>
        <rFont val="Calibri"/>
        <family val="2"/>
        <scheme val="minor"/>
      </rPr>
      <t xml:space="preserve"> (1837), посвящённое памяти Пушкина, сделало его знаменитым и принесло ему славу обличителя светского общества.</t>
    </r>
  </si>
  <si>
    <t>Смерть поэта 1837
Мцыри 1839
Герой нашего времени 1840
Демон 1841
Бородино 1837
Песня про царя Ивана Васильевича молодого опричника и удалого купца Калашникова 1837</t>
  </si>
  <si>
    <t>"И скучно и грустно и некому руку подать в минуту душевной невзгоды"</t>
  </si>
  <si>
    <t>"Есть речи значенье а есть благозвучье за всё хорошее платим мы мучей"</t>
  </si>
  <si>
    <t>"Жизнь как пирог только кусочек достанется тому кто умеет держать ложку"</t>
  </si>
  <si>
    <t>"Человек человеку друг другому враг а бюрократ бюрократу всегда товарищ"</t>
  </si>
  <si>
    <t>Мастер сатиры</t>
  </si>
  <si>
    <t>Зощенко стал одним из главных сатириков советской литературы. Его короткие рассказы и повести высмеивают бюрократию, глупость и лицемерие, при этом сохраняя тонкий юмор и человечность.</t>
  </si>
  <si>
    <t>Преследования и признание</t>
  </si>
  <si>
    <t>Несмотря огромную популярность у читателей, Зощенко подвергался цензуре и официальным преследованиям. В 1946 году он был осуждён за «низкопоклонство перед западом» вместе с другими сатириками, однако его произведения до сих пор остаются классикой.</t>
  </si>
  <si>
    <t>Случаи 1923
Господа глухие 1924
Детки 1926
Старушки 1928
Записки юного врача 1929
Счастливая Москва 1933
На краю света 1935
Пьяный рейс 1938</t>
  </si>
  <si>
    <t>Певец Урала</t>
  </si>
  <si>
    <t>Мамин-Сибиряк посвятил своё творчество родному Уралу. В его произведениях подробно описывается жизнь горнозаводского края, быт рабочих и крестьян, природа и особый уклад региона.</t>
  </si>
  <si>
    <r>
      <t xml:space="preserve">Писатель известен не только социальными романами и рассказами, но и добрыми произведениями для детей. Его сборник </t>
    </r>
    <r>
      <rPr>
        <i/>
        <sz val="11"/>
        <color theme="1"/>
        <rFont val="Calibri"/>
        <family val="2"/>
        <scheme val="minor"/>
      </rPr>
      <t>Алёнушкины сказки</t>
    </r>
    <r>
      <rPr>
        <sz val="11"/>
        <color theme="1"/>
        <rFont val="Calibri"/>
        <family val="2"/>
        <scheme val="minor"/>
      </rPr>
      <t xml:space="preserve"> (1894) стал классикой детской литературы и любимым чтением многих поколений.</t>
    </r>
  </si>
  <si>
    <t>Автор для взрослых и детей</t>
  </si>
  <si>
    <t>Приваловские миллионы 1883
Горное гнездо 1884
Золото 1884
Хлеб 1895
Алёнушкины сказки 1894
Три конца 1890
Черты из жизни Пепко 1889</t>
  </si>
  <si>
    <t>"Жизнь никогда не стоит на месте она или поднимается или падает"</t>
  </si>
  <si>
    <t>"Только труд делает человека настоящим хозяином земли"</t>
  </si>
  <si>
    <t>"Послушайте ведь если звезды зажигают значит это кому нибудь нужно"</t>
  </si>
  <si>
    <t>"Я хочу чтобы к штыку приравняли перо"</t>
  </si>
  <si>
    <t>Облако в штанах 1915
Флейта позвоночник 1915
Война и мир 1916
Человек 1917
Мистерия Буфф 1918
150 000 000 1921
Люблю 1922
Про это 1923
Владимир Ильич Ленин 1924
Хорошо 1927
Во весь голос 1930</t>
  </si>
  <si>
    <t>Он ломал традиционные правила стихосложения, создавая так называемую "лесенку" — особый ритм и графику стиха. Такой стиль стал визитной карточкой поэта и оказал влияние на дальнейшее развитие русской поэзии.</t>
  </si>
  <si>
    <t>Мастер новаторской формы</t>
  </si>
  <si>
    <t>Маяковский стал главным поэтом революционной эпохи. Его произведения, полные энергии и пафоса, отражали дух перемен и служили агитацией за новое общество. Его называли «поэтом революции».</t>
  </si>
  <si>
    <t>Голос революции</t>
  </si>
  <si>
    <t>"Я слова позабыл что я хотел сказать и мысль бесплотная в черепе кружится"</t>
  </si>
  <si>
    <t>"Мы живем под собою не чуя страны наши речи за десять шагов не слышны"</t>
  </si>
  <si>
    <t>Камень 1913
Tristia 1922
Стихотворения 1928
Шум времени 1925
Египетская марка 1928
Воронежские тетради 1935–1937</t>
  </si>
  <si>
    <t>В 1933 году он написал знаменитое «сталинское стихотворение», за что был арестован. Последние годы жизни поэт провёл в ссылках и лагерях, где и умер в 1938 году. Его судьба стала символом трагедии целого поколения русских писателей.</t>
  </si>
  <si>
    <t>Трагическая судьба</t>
  </si>
  <si>
    <t>Мандельштам был одним из основателей поэтического направления акмеизм, которое стремилось к ясности, предметности и точности образов в противовес символизму. Его стихи отличались особой пластичностью и гармонией.</t>
  </si>
  <si>
    <t>Представитель акмеизма</t>
  </si>
  <si>
    <t>"Всякая душа свою песню поёт"</t>
  </si>
  <si>
    <t>"Добро не в том чтобы не делать зла а в том чтобы делать добро"</t>
  </si>
  <si>
    <t>Леди Макбет Мценского уезда 1865
Очарованный странник 1873
На краю света 1875
Соборяне 1872
Запечатленный ангел 1873
Несмертельный Голован 1880
Человек на часах 1887
Заячий ремиз 1894</t>
  </si>
  <si>
    <t>Современники называли Лескова «самым русским писателем», потому что он изображал быт, характер и судьбу простых людей — от крестьян и ремесленников до духовенства. Его произведения раскрывают всю палитру русской жизни XIX века.</t>
  </si>
  <si>
    <t>"Самый русский из писателей"</t>
  </si>
  <si>
    <t>Лесков стал одним из первых писателей, который ввёл в литературу особую форму повествования — "сказ". Его произведения полны живой народной речи, пословиц, прибауток и устного рассказа.</t>
  </si>
  <si>
    <t>Мастер "сказовой прозы"</t>
  </si>
  <si>
    <t>"Поэтом можешь ты не быть но гражданином быть обязан"</t>
  </si>
  <si>
    <t>"Есть женщины в русских селеньях спокойной важности лицом"</t>
  </si>
  <si>
    <t>В дороге 1845
Крестьянские дети 1856
Несжатая полоса 1856
Орина мать солдатская 1857
Русские женщины 1871
Кому на Руси жить хорошо 1863–1877
Мороз Красный нос 1864</t>
  </si>
  <si>
    <t>Голос народа в поэзии</t>
  </si>
  <si>
    <t>Некрасова называли «поэтом-крестьянином», потому что он впервые сделал главным героем своей лирики простой народ. Его стихи отражали страдания и надежды крестьян, что сделало его творчество особенно близким простым людям.</t>
  </si>
  <si>
    <t>Издатель и наставник классиков</t>
  </si>
  <si>
    <t>Некрасов был не только поэтом, но и талантливым издателем. Именно он возглавлял журнал Современник, где печатались Тургенев, Достоевский, Чернышевский и другие выдающиеся писатели.</t>
  </si>
  <si>
    <t>"Берегите в себе человека"</t>
  </si>
  <si>
    <t>"Счастье — как здоровье когда его не замечаешь значит оно есть"</t>
  </si>
  <si>
    <t>Записки охотника 1852
Рудин 1856
Дворянское гнездо 1859
Накануне 1860
Отцы и дети 1862
Дым 1867
Новь 1877
Стихотворения в прозе 1882</t>
  </si>
  <si>
    <t>В романе Отцы и дети (1862) Тургенев впервые ввёл в литературу образ нигилиста. Персонаж Евгений Базаров стал символом нового поколения и вызвал бурные споры в обществе.</t>
  </si>
  <si>
    <t>Создатель "нигилиста" Базарова</t>
  </si>
  <si>
    <t>Тургенев много лет жил за границей — во Франции и Германии — и именно он познакомил Европу с русской литературой, популяризируя Пушкина, Лермонтова, Гоголя и других писателей.</t>
  </si>
  <si>
    <t>"Посланник русской литературы в Европу"</t>
  </si>
  <si>
    <t>"Мысль изреченная есть ложь"</t>
  </si>
  <si>
    <t>"Умом Россию не понять аршином общим не измерить у ней особенная стать в Россию можно только верить"</t>
  </si>
  <si>
    <t>Стихи о природе 1820
Весенняя гроза 1828
Silentium 1830
Не то что мните вы природа 1836
Люблю грозу в начале мая 1836
Последняя любовь 1851
Денисьевский цикл 1850е
Умом Россию не понять 1866</t>
  </si>
  <si>
    <t>Поэзия Тютчева проникнута размышлениями о природе, времени, судьбе и человеке. Его стихи отличаются лаконичностью, но в них всегда скрыта глубокая мысль — за это его называют "философом в поэзии".</t>
  </si>
  <si>
    <t>Мастер философской лирики</t>
  </si>
  <si>
    <t>Тютчев долгие годы служил на дипломатической службе в Мюнхене и Турине, поэтому его творчество долгое время оставалось почти неизвестным в России. Лишь позднее его стихи заняли достойное место в золотом фонде русской поэзии.</t>
  </si>
  <si>
    <t>Дипломат и поэт</t>
  </si>
  <si>
    <t>23\1557.jpg</t>
  </si>
  <si>
    <t>23\TD7MDyt--t8.jpg</t>
  </si>
  <si>
    <t>23\czgakffdspb_fotodokumentop.1gr-10.ed.hr.10974_0001.jpeg</t>
  </si>
  <si>
    <t>23\scale_1200.png</t>
  </si>
  <si>
    <t>23\zo1000.jpg</t>
  </si>
  <si>
    <t>23\ks5vPCY601o.jpg</t>
  </si>
  <si>
    <t>22\_69.jpg</t>
  </si>
  <si>
    <t>22\mamin-sibiryak-15.jpg</t>
  </si>
  <si>
    <t>22\309.jpg</t>
  </si>
  <si>
    <t>22\1829042906_0_524_2047_1675_1920x0_80_0_0_e98ab66c083331ff6697bf6739dcdc17.jpg</t>
  </si>
  <si>
    <t>22\4964cbc6da2e9220c497d15623596c81.jpg</t>
  </si>
  <si>
    <t>22\phpQe1rnH_d.n._mamin-sibiryak_literaturnaya_beseda_html_5421fe99e206155b.jpg</t>
  </si>
  <si>
    <t>21\cf9ca5ee5f0bcccb5f0e96c14707a1d9.jpg</t>
  </si>
  <si>
    <t>21\O_2W2xeeA6Q.jpg</t>
  </si>
  <si>
    <t>21\f7pklr2bcy0othzeyah0x10pi6vrzaqh-1.jpg</t>
  </si>
  <si>
    <t>21\i (1).jpg</t>
  </si>
  <si>
    <t>21\i.jpg</t>
  </si>
  <si>
    <t>21\Vladimir_Mayakovsky_1920-e1510019482714.jpg</t>
  </si>
  <si>
    <t>20\i (1).jpg</t>
  </si>
  <si>
    <t>20\0b9e3a8b33e4b6b62749e19c96b84b6080c956cc.jpg</t>
  </si>
  <si>
    <t>20\a0b61843-7c91-5059-959d-7d68e9304dc0.jpg</t>
  </si>
  <si>
    <t>20\Mandelshtam17.jpg</t>
  </si>
  <si>
    <t>20\ecee626baf0da9a4e35a646fddbc6d4c.png</t>
  </si>
  <si>
    <t>19\0c8c7308228ebac0.jpeg</t>
  </si>
  <si>
    <t>19\maxresdefault.jpg</t>
  </si>
  <si>
    <t>19\1920x.jpg</t>
  </si>
  <si>
    <t>19\leskov-1.jpg</t>
  </si>
  <si>
    <t>19\scale_1200.jpg</t>
  </si>
  <si>
    <t>19\scale_1200 (1).jpg</t>
  </si>
  <si>
    <t>18\633e63f8ec21b3c611ddf97e-middle.jpg</t>
  </si>
  <si>
    <t>18\Nikolay_Nekrasov_2cr.jpg</t>
  </si>
  <si>
    <t>18\31df9c35-7f09-5424-ad00-08758022bed4.jpg</t>
  </si>
  <si>
    <t>18\960px-Nekrasov.jpg</t>
  </si>
  <si>
    <t>18\Nikolaj_Nekrasov.jpg</t>
  </si>
  <si>
    <t>17\portret.jpg</t>
  </si>
  <si>
    <t>17\960px-Turgenev_by_Repin.jpg</t>
  </si>
  <si>
    <t>17\0b716691cf3039ae3d6477c887014635.jpg</t>
  </si>
  <si>
    <t>17\dd4f891bb310829d44ec7e1e11352f5e.jpg</t>
  </si>
  <si>
    <t>17\Turgenev_by_Repin_1879.jpg</t>
  </si>
  <si>
    <t>17\01d0f1950ebf59429e25a97bfa2923bf.jpg</t>
  </si>
  <si>
    <t>16\9b5993ea4bddf8a5ca465906270ca1c5.jpg</t>
  </si>
  <si>
    <t>16\tyutchev.jpg</t>
  </si>
  <si>
    <t>16\77c43a52-9f80-5c04-8201-5d1e1facf9a5.jpg</t>
  </si>
  <si>
    <t>16\780399d6-3f1f-574e-bc5c-20c10db7fa01.jpg</t>
  </si>
  <si>
    <t>16\i.jpg</t>
  </si>
  <si>
    <t>16\scale_1200.png</t>
  </si>
  <si>
    <t>15\MghfKq3MV46stzaqNgcTu9-f3rQrRUjot7NyTvGPRU-fXea07PjrHLuRkmeK0VnlMX2Q2Lne.jpg</t>
  </si>
  <si>
    <t>15\JqvvkQrD9cJQqIOSyKnUnRVQVSRd4RKX5X3nEkOYW5XeGDURsJvNoTyTv_wGhadEqc2FCtxRQLLlWO1mdUZTfnvU.jpg</t>
  </si>
  <si>
    <t>15\8cd209eb73c664fdeb854768c5baccde.jpg</t>
  </si>
  <si>
    <t>15\51b4140259f1b7c6c07f593f0bb0ff63.jpg</t>
  </si>
  <si>
    <t>15\WTTsLhf0jGLXcH8-H6FpDUvq2lSr1YZTQ5kImXJkk40U-PpEEns17R7-C8fCJJgbEN-ERL3NwX2ReM_jhAtwrCIA.jpg</t>
  </si>
  <si>
    <t>14\e9401f03dcff4202941f59a4e545c14d.jpg</t>
  </si>
  <si>
    <t>14\scale_1200.jpg</t>
  </si>
  <si>
    <t>14\12_12_2022_1.jpeg</t>
  </si>
  <si>
    <t>14\1200px-Nikolas_Mikhailowitch_Karamzine.jpg</t>
  </si>
  <si>
    <t>14\927315841_0_0_1975_3000_768x0_80_0_0_1bd9c2eee889ee635eef4447f306fd57.jpg</t>
  </si>
  <si>
    <t>14\QUijl_uy3TQ.jpg</t>
  </si>
  <si>
    <t>9 мая — День Победы</t>
  </si>
  <si>
    <t xml:space="preserve">
&lt;align=center&gt;&lt;size=40&gt;9 мая — День Победы&lt;/size&gt;&lt;/align&gt;
&lt;align=center&gt;&lt;size=20&gt;Помним. Гордимся. Чтим.&lt;/size&gt;&lt;/align&gt;
[image=Презентации\9 Мая\image 2.png]
&lt;align=center&gt;• День Победы советского народа в Великой Отечественной войне 1941–1945 годов.
• Символизирует мужество, стойкость и героизм миллионов людей.
• Этот день объединяет всех, кто чтит историю и память предков.
&lt;align=center&gt;&lt;size=40&gt;Великая Отечественная война: Цифры и факты&lt;/size&gt;&lt;/align&gt;
&lt;align=center&gt;&lt;size=26&gt;1418 дней борьбы&lt;/size&gt;&lt;/align&gt;
[image=Презентации\9 Мая\Рисунок6.jpg]
&lt;align=center&gt;• Длилась с 22 июня 1941 года по 9 мая 1945 года.
• Погибло более 27 миллионов&lt;/b&gt;  советских людей.
• Ключевые битвы: Московская, Сталинградская, Курская, Берлинская.
• Война затронула каждую семью в СССР.
&lt;align=center&gt;&lt;size=40&gt;Герои войны&lt;/size&gt;&lt;/align&gt;
&lt;align=center&gt;&lt;size=26&gt;Подвиг солдат и тружеников тыла&lt;/size&gt;&lt;/align&gt;
[image=Презентации\9 Мая\Рисунок2.jpg]
&lt;align=center&gt;•  &lt;b&gt;Солдаты&lt;/b&gt;  сражались на фронте, защищая Родину.
•  &lt;b&gt;Труженики тыла&lt;/b&gt;  работали на заводах, в полях и госпиталях.
•  &lt;b&gt;Дети и подростки&lt;/b&gt;  заменяли взрослых на производствах.
• Примеры героев: Зоя Космодемьянская, Александр Матросов, лётчик Покрышкин.
&lt;align=center&gt;&lt;size=40&gt;Знаковые события войны&lt;/size&gt;&lt;/align&gt;
&lt;align=center&gt;&lt;size=26&gt;Решающие битвы&lt;/size&gt;&lt;/align&gt;
[image=Презентации\9 Мая\Рисунок3.jpg]
&lt;align=center&gt;•  &lt;b&gt;Битва за Москву (1941):&lt;/b&gt;  Первое крупное поражение фашистов.
•  &lt;b&gt;Сталинградская битва (1942–1943):&lt;/b&gt;  Коренной перелом в войне.
•  &lt;b&gt;Курская дуга (1943):&lt;/b&gt;  Крупнейшее танковое сражение.
•  &lt;b&gt;Штурм Берлина (1945):&lt;/b&gt;  Падение столицы Третьего рейха.
&lt;align=center&gt;&lt;size=40&gt;Цена Победы&lt;/size&gt;&lt;/align&gt;
&lt;align=center&gt;&lt;size=26&gt;Никто не забыт, ничто не забыто&lt;/size&gt;&lt;/align&gt;
[image=Презентации\9 Мая\Рисунок4.jpg]
&lt;align=center&gt;•  &lt;b&gt;27 миллионов жизней&lt;/b&gt;  — страшная цена Победы.
• Разрушены тысячи городов и сёл.
•  &lt;b&gt;Вечный огон&lt;/b&gt; ь и мемориалы по всей России напоминают о подвиге.
• Минута молчания — дань уважения павшим.
&lt;align=center&gt;&lt;size=40&gt;Современное празднование&lt;/size&gt;&lt;/align&gt;
&lt;align=center&gt;&lt;size=26&gt;Традиции Дня Победы&lt;/size&gt;&lt;/align&gt;
[image=Презентации\9 Мая\Рисунок5.jpg]
&lt;align=center&gt;• &lt;b&gt;Военный парад&lt;/b&gt;  в Москве и других городах.
• &lt;b&gt;Акция «Бессмертный полк»&lt;/b&gt;  — шествие с портретами героев войны.
• &lt;b&gt;Георгиевская лента&lt;/b&gt;  — символ памяти и благодарности.
• &lt;b&gt;Салют Победы&lt;/b&gt;  завершает праздник.
• &lt;b&gt;Важно&lt;/b&gt; передавать память о войне новым поколениям.</t>
  </si>
  <si>
    <t>Пушкин</t>
  </si>
  <si>
    <t>Веркола, Архангельская губерния</t>
  </si>
  <si>
    <t>Рождение</t>
  </si>
  <si>
    <t>Рождение одного из наиболее известных представителей «деревенской прозы»</t>
  </si>
  <si>
    <t>Его творчество посвящено жизни простого русского крестьянина, с её трудностями, радостями и печалями.</t>
  </si>
  <si>
    <t>Отец - Александр Абрамов / Мама - Степанида Павловна</t>
  </si>
  <si>
    <t>Запись в местных архивах Архангельской обл.</t>
  </si>
  <si>
    <t>Архивная запись о рождении</t>
  </si>
  <si>
    <t>Поступление в университет</t>
  </si>
  <si>
    <t>Федор Абрамов оканчивает школу с отличием и без экзаменов поступает на филологический факультет Ленинградского университета.</t>
  </si>
  <si>
    <t>Писатель поощряет свой интерес к литературе и стремится получить образование в этой области.</t>
  </si>
  <si>
    <t>Санкт-Петербургский государственный университет</t>
  </si>
  <si>
    <t>Ленинград</t>
  </si>
  <si>
    <t>Уход в ополчение</t>
  </si>
  <si>
    <t>В первые дни Великой Отечественной войны ушел добровольцем в народное ополчение защищать Ленинград. Был дважды тяжело ранен.</t>
  </si>
  <si>
    <t>Получение личного жизненного военного опыта и насмотренности о жизни деревенского народа, легшего в основу прозы.</t>
  </si>
  <si>
    <t>Сослуживцы / Сельская община</t>
  </si>
  <si>
    <t>Орден Отечественной войны II степени</t>
  </si>
  <si>
    <t>Награда за боевые заслуги</t>
  </si>
  <si>
    <t>Медали «За оборону Ленинграда», «За победу над Германией»</t>
  </si>
  <si>
    <t>Воинские награды</t>
  </si>
  <si>
    <t>В студенческие годы ведет большую общественную и научную работу, получает стипендию имени И.В. Сталина.</t>
  </si>
  <si>
    <t>Уже в студенческие годы труды Абрамова обращают на себя внимание общественности.</t>
  </si>
  <si>
    <t>Окончание университета</t>
  </si>
  <si>
    <t>В 1948 году Абрамов окончил университет с отличием и поступил в аспирантуру ЛГУ. Позже защитил кандидатскую и занялся преподавательской деятельностью.</t>
  </si>
  <si>
    <t>Абрамов окончательно выбрал литературную стезю в качестве карьеры.</t>
  </si>
  <si>
    <t>Москва</t>
  </si>
  <si>
    <t>Публикация в журнале «Новый мир»</t>
  </si>
  <si>
    <t>Публикует статью «Люди колхозной деревни в послевоенной литературе», в которой критикует положение дел в деревнях и селах.</t>
  </si>
  <si>
    <t>Именно в то время Абрамов сформулировал свое писательское кредо: писать и говорить правду, какой бы горькой она ни была.</t>
  </si>
  <si>
    <t>Выход романа «Братья и сестры»</t>
  </si>
  <si>
    <t>Выход в свет первого романа из трилогии "Пряслины" – "Братья и сестры". Это произведение стало знаковым для русской литературы.</t>
  </si>
  <si>
    <t>Исследование нравственных и социальных трансформаций деревни в послевоенном СССР</t>
  </si>
  <si>
    <t>М., Советский писатель</t>
  </si>
  <si>
    <t>Получение Государственной премии СССР</t>
  </si>
  <si>
    <t>Присуждение Государственной премии СССР за трилогию "Пряслины".</t>
  </si>
  <si>
    <t>Это стало важным признанием его литературного таланта.</t>
  </si>
  <si>
    <t>Критики / Сельская община</t>
  </si>
  <si>
    <t>Государственная премия СССР в области литературы</t>
  </si>
  <si>
    <t>Официальный документ о присуждении премии</t>
  </si>
  <si>
    <t>Работа над «Чистой книгой»</t>
  </si>
  <si>
    <t>Последние годы Федора Абрамова были посвящены работе над произведением «Чистая книга», материал для которого он собирал 25 лет.</t>
  </si>
  <si>
    <t>Федор Абрамов считал роман главным в своем творчестве и посвятил его раздумьям о судьбе России.</t>
  </si>
  <si>
    <t>М.Д. Кривополенова — Махонька</t>
  </si>
  <si>
    <t>Смерть</t>
  </si>
  <si>
    <t>Ф. А. Абрамов умер 14 мая 1983 года в Ленинграде.</t>
  </si>
  <si>
    <t>Его уход стал большой утратой для русской культуры.</t>
  </si>
  <si>
    <t>Современники / Исследователи</t>
  </si>
  <si>
    <t>Обобщающий источник о жизни и творчестве</t>
  </si>
  <si>
    <t>23.06.1889</t>
  </si>
  <si>
    <t>Одесса (Большой Фонтан)</t>
  </si>
  <si>
    <t>Рождение Анны Андреевны Ахматовой в семье потомственного дворянина.</t>
  </si>
  <si>
    <t>Рождение одной из ключевых личностей Серебряного века</t>
  </si>
  <si>
    <t>Отец Андрей Антонович Горенко / мать Инна Эразмовна Стогова</t>
  </si>
  <si>
    <t>Метрическая запись</t>
  </si>
  <si>
    <t>Церковный документ о рождении</t>
  </si>
  <si>
    <t>Переезд семьи в Павловск</t>
  </si>
  <si>
    <t>Семья Горенко переезжает в Павловск, а спустя 6 лет — в Царское Село.</t>
  </si>
  <si>
    <t>Появление будущей поэтессы в Царском Селе, в месте, которое ее вдохновляло.</t>
  </si>
  <si>
    <t>Поступление в гимназию</t>
  </si>
  <si>
    <t>Поступает в Мариинскую женскую гимназию в Царском Селе. Отец запретил ей использовать фамилию Горенко — так появился псевдоним Ахматова.</t>
  </si>
  <si>
    <t>В будущем на месте гимназии появится Царскосельская гимназия искусств имени А.А. Ахматовой.</t>
  </si>
  <si>
    <t>Венчание с Гумилевым</t>
  </si>
  <si>
    <t>Анна Ахматова выходит замуж за поэта Николая Гумилева. У пары родился сын Лев.</t>
  </si>
  <si>
    <t>Гумилев вдохновлял жену и помогал ей с публикациями.</t>
  </si>
  <si>
    <t>Николай Гумилев</t>
  </si>
  <si>
    <t>Выход сборника «Вечер»</t>
  </si>
  <si>
    <t>Дебютный сборник опубликован тиражом в 300 экземпляров в издательстве «Цех поэтов».</t>
  </si>
  <si>
    <t>Первый сборник сразу обратил внимание критиков Серебряного века.</t>
  </si>
  <si>
    <t>Гумилев / О. Мандельштам</t>
  </si>
  <si>
    <t>Первые публикации в альманахах</t>
  </si>
  <si>
    <t>Архивы журналов</t>
  </si>
  <si>
    <t>Вступление в Союз писателей</t>
  </si>
  <si>
    <t>Анна Ахматова присоединяется к Союзу Советских Писателей.</t>
  </si>
  <si>
    <t>Вступление в союз позволяло печатать официально.</t>
  </si>
  <si>
    <t>А. Фадеев</t>
  </si>
  <si>
    <t>Начало войны</t>
  </si>
  <si>
    <t>Начало войны Ахматова встретила в Ленинграде, но по настоянию врачей эвакуировалась в Ташкент.</t>
  </si>
  <si>
    <t>Во время пребывания в Ташкенте написала большое количество стихотворений и две трети «Поэмы без горя».</t>
  </si>
  <si>
    <t>Арест сына</t>
  </si>
  <si>
    <t>Сын Лев Гумилев арестован в третий раз за антисоветскую деятельность.</t>
  </si>
  <si>
    <t>Ахматова пыталась помочь сыну; в 1950 году опубликовала цикл «Слава миру!», вероятно, в надежде смягчить власть.</t>
  </si>
  <si>
    <t>Публикация «Поэмы без горя»</t>
  </si>
  <si>
    <t>Спустя 20 лет Ахматова завершила «Поэму без горя», над которой работала во время эмиграции.</t>
  </si>
  <si>
    <t>Этому произведению Ахматова придавала огромное значение как творческой, так и личной публикации.</t>
  </si>
  <si>
    <t>Анна Ахматова умерла в возрасте 76 лет от острой сердечной недостаточности.</t>
  </si>
  <si>
    <t>Окончание одной из главных поэтических судеб XX века.</t>
  </si>
  <si>
    <t>Один из старейших университетов России</t>
  </si>
  <si>
    <t>Получение стипендии имени Сталина</t>
  </si>
  <si>
    <t>16.03.1884</t>
  </si>
  <si>
    <t>Смоленск</t>
  </si>
  <si>
    <t>Беляев родился в семье священника. В будущем — основоположник советской научной фантастики.</t>
  </si>
  <si>
    <t>Рождение «отца советской научной фантастики».</t>
  </si>
  <si>
    <t>Отец Роман Петрович Беляев / мать Наталья Беляева</t>
  </si>
  <si>
    <t>Метрические записи</t>
  </si>
  <si>
    <t>Окончание духовной семинарии</t>
  </si>
  <si>
    <t>Оканчивает обучение в Смоленской духовной семинарии.</t>
  </si>
  <si>
    <t>Обучение расширило кругозор будущего писателя.</t>
  </si>
  <si>
    <t>Учеба, юридическая практика и журналистика</t>
  </si>
  <si>
    <t>Участвовал в любительских театральных постановках, начал юридическую практику и печатался в газетах.</t>
  </si>
  <si>
    <t>Формирование литературного стиля и любви к искусству.</t>
  </si>
  <si>
    <t>Путешествия по Европе</t>
  </si>
  <si>
    <t>После удачного судебного процесса отправился в путешествие по Европе.</t>
  </si>
  <si>
    <t>Расширение кругозора будущего писателя.</t>
  </si>
  <si>
    <t>Серьезная болезнь</t>
  </si>
  <si>
    <t>Заболел костным туберкулезом позвоночника, получил паралич ног.</t>
  </si>
  <si>
    <t>Это испытание укрепило его волю и повлияло на темы будущих произведений.</t>
  </si>
  <si>
    <t>Начало литературной деятельности</t>
  </si>
  <si>
    <t>Первые рассказы появились до революции, но настоящая писательская жизнь началась после восстановления здоровья.</t>
  </si>
  <si>
    <t>Мир начинал знакомиться с рассказами писателя-фантаста.</t>
  </si>
  <si>
    <t>Выход первых известных произведений</t>
  </si>
  <si>
    <t>Работал над «Головой профессора Доуэля», затем вышел «Человек-Амфибия».</t>
  </si>
  <si>
    <t>Эти романы сделали Беляева основателем советской научной фантастики.</t>
  </si>
  <si>
    <t>Переезды писателя</t>
  </si>
  <si>
    <t>Переезды в Ленинград, Киев, Детское Село, Мурманск.</t>
  </si>
  <si>
    <t>Впечатления от смены городов нашли отклик в произведениях.</t>
  </si>
  <si>
    <t>Умер от голода и болезни во время немецкой оккупации.</t>
  </si>
  <si>
    <t>Его судьба стала символом стойкости и трагизма поколения, пережившего войну.</t>
  </si>
  <si>
    <t>Петербург</t>
  </si>
  <si>
    <t>Рождение будущей поэтессы, драматурга, прозаика, журналиста.</t>
  </si>
  <si>
    <t>Ольга родилась в семье врача. Атмосфера интеллигентного дома приучила ее к культуре и книгам.</t>
  </si>
  <si>
    <t>Первый рассказ «Ленин» опубликован в 14 лет. В 15 лет вступила в литературное объединение «Смена».</t>
  </si>
  <si>
    <t>Укрепление литературных связей. Встреча с будущим мужем Борисом Корниловым.</t>
  </si>
  <si>
    <t>Поступление в Ленинградский университет</t>
  </si>
  <si>
    <t>Поступила на филологический факультет ЛГУ.</t>
  </si>
  <si>
    <t>Учеба сформировала ее стиль и помогла найти собственный голос.</t>
  </si>
  <si>
    <t>Арест и заключение</t>
  </si>
  <si>
    <t>Обвинена в связи с опальным литератором, исключена из Союза писателей.</t>
  </si>
  <si>
    <t>Репрессии придали ее поэзии мощный моральный импульс.</t>
  </si>
  <si>
    <t>Участие в обороне Ленинграда</t>
  </si>
  <si>
    <t>Стала «голосом Ленинграда»: ее передачи по радио поддерживали горожан.</t>
  </si>
  <si>
    <t>Документальная поэзия и моральная поддержка жителей блокады.</t>
  </si>
  <si>
    <t>Блокада Ленинграда</t>
  </si>
  <si>
    <t>Военная осада с 8 сентября 1941 по 27 января 1944</t>
  </si>
  <si>
    <t>Публикация о Победе</t>
  </si>
  <si>
    <t>Работала над радиофильмом «900 дней».</t>
  </si>
  <si>
    <t>Ее произведения стали символом радости и боли народа.</t>
  </si>
  <si>
    <t>Публикация поэмы «Первороссийск»</t>
  </si>
  <si>
    <t>Одно из главных произведений Берггольц.</t>
  </si>
  <si>
    <t>Воплотилась тема стойкости и трагизма.</t>
  </si>
  <si>
    <t>Получение Сталинской премии</t>
  </si>
  <si>
    <t>Удостоена Сталинской премии за поэму «Первороссийск».</t>
  </si>
  <si>
    <t>Поэма закрепила за ней звание «поэта Ленинграда».</t>
  </si>
  <si>
    <t>Умерла в возрасте 65 лет.</t>
  </si>
  <si>
    <t>Поэтесса ушла, но ее слово осталось символом мужества и верности городу.</t>
  </si>
  <si>
    <t>А.А. Блок</t>
  </si>
  <si>
    <t>16.11.1880</t>
  </si>
  <si>
    <t>Санкт-Петербург</t>
  </si>
  <si>
    <t>Родился в интеллигентной семье.</t>
  </si>
  <si>
    <t>Рождение ведущего поэта русского символизма</t>
  </si>
  <si>
    <t>Отец Александр Львович Блок</t>
  </si>
  <si>
    <t>Поступление в Петербургский университет</t>
  </si>
  <si>
    <t>Сначала изучал право, потом перешел на историко-филологический факультет.</t>
  </si>
  <si>
    <t>Литературное формирование и знакомство с символистами</t>
  </si>
  <si>
    <t>Одногруппники / профессора</t>
  </si>
  <si>
    <t>Университетские архивы</t>
  </si>
  <si>
    <t>Архивные записи</t>
  </si>
  <si>
    <t>Знакомство с творчеством Соловьева</t>
  </si>
  <si>
    <t>Один из важных моментов в жизни Блока.</t>
  </si>
  <si>
    <t>Влияние на мировоззрение и стиль поэта</t>
  </si>
  <si>
    <t>Женитьба на Любови Менделеевой</t>
  </si>
  <si>
    <t>Любовь Менделеева стала для Блока «прекрасной дамой».</t>
  </si>
  <si>
    <t>Эта любовь стала источником вдохновения для цикла «Стихи о Прекрасной Даме».</t>
  </si>
  <si>
    <t>Участие в символистских кругах</t>
  </si>
  <si>
    <t>Вошел в литературное объединение символистов.</t>
  </si>
  <si>
    <t>Влияние на поэзию того времени.</t>
  </si>
  <si>
    <t>Публикация «Снежной маски» и «Песни Судьбы»</t>
  </si>
  <si>
    <t>Поэзия терпит трансформацию от мистического символизма к социальным темам.</t>
  </si>
  <si>
    <t>Отражали внутреннюю эволюцию поэта.</t>
  </si>
  <si>
    <t>Начало работы над поэмой «Возмездие»</t>
  </si>
  <si>
    <t>Поэма оставлена незавершенной.</t>
  </si>
  <si>
    <t>Показала размышления Блока о судьбе России.</t>
  </si>
  <si>
    <t>Создание поэмы «Двенадцать»</t>
  </si>
  <si>
    <t>Самое известное произведение Блока, написанное после революции.</t>
  </si>
  <si>
    <t>Одно из главных наследий Блока.</t>
  </si>
  <si>
    <t>А. Белый, Вл. Маяковский</t>
  </si>
  <si>
    <t>Петроград</t>
  </si>
  <si>
    <t>Умер в возрасте 40 лет от болезней.</t>
  </si>
  <si>
    <t>Его уход символизировал конец целой эпохи в русской литературе.</t>
  </si>
  <si>
    <t>01.04.1809</t>
  </si>
  <si>
    <t>Сорочинцы, Полтавская губерния</t>
  </si>
  <si>
    <t>Гоголь вырос в семье малороссийского помещика.</t>
  </si>
  <si>
    <t>Рождение ключевого новатора русской сатирической прозы</t>
  </si>
  <si>
    <t>Отец Василий Афанасьевич / мать Мария Ивановна</t>
  </si>
  <si>
    <t>Поступление в Нежинскую гимназию</t>
  </si>
  <si>
    <t>Проявились литературные и театральные способности.</t>
  </si>
  <si>
    <t>Формирование интереса к литературе.</t>
  </si>
  <si>
    <t>Архивы Нежина</t>
  </si>
  <si>
    <t>Школьные документы</t>
  </si>
  <si>
    <t>Переезд в Петербург</t>
  </si>
  <si>
    <t>Принял решение переехать в столицу.</t>
  </si>
  <si>
    <t>Несмотря на трудности, именно в столице началось его становление как литератора.</t>
  </si>
  <si>
    <t>Публикация поэмы «Ганц Кюхельгартен»</t>
  </si>
  <si>
    <t>Первый литературный опыт оказался провалом.</t>
  </si>
  <si>
    <t>Этот урок подтолкнул писателя к прозе.</t>
  </si>
  <si>
    <t>Выход сборника «Вечера на хуторе близ Диканьки»</t>
  </si>
  <si>
    <t>С этого момента Гоголь стал известным писателем.</t>
  </si>
  <si>
    <t>Его произведения принесли свежесть и колорит народной жизни.</t>
  </si>
  <si>
    <t>Издание «Миргорода» и «Арабесок»</t>
  </si>
  <si>
    <t>Появились «Тарас Бульба» и «Старосветские помещики».</t>
  </si>
  <si>
    <t>Появление весомых произведений.</t>
  </si>
  <si>
    <t>Постановка комедии «Ревизор»</t>
  </si>
  <si>
    <t>Пьеса произвела сенсацию и вызвала споры.</t>
  </si>
  <si>
    <t>Произведение высмеивало пороки чиновничества.</t>
  </si>
  <si>
    <t>Публикация «Мертвых душ»</t>
  </si>
  <si>
    <t>Стало вершиной его творчества.</t>
  </si>
  <si>
    <t>Главное произведение Гоголя, задуманное как «эпопея русской жизни».</t>
  </si>
  <si>
    <t>Поездки за границу, жизнь в Риме</t>
  </si>
  <si>
    <t>Работал над вторым томом «Мертвых душ», но сжег его.</t>
  </si>
  <si>
    <t>Творчество становилось философским и религиозным.</t>
  </si>
  <si>
    <t>04.03.1852</t>
  </si>
  <si>
    <t>Скончался после духовного кризиса и отказа от пищи.</t>
  </si>
  <si>
    <t>Его уход стал трагическим событием для русской культуры.</t>
  </si>
  <si>
    <t>Екатерина Михайловна Хомякова</t>
  </si>
  <si>
    <t>Курская губерния</t>
  </si>
  <si>
    <t>Настоящая фамилия — Герман. Детство прошло в Ленинграде.</t>
  </si>
  <si>
    <t>Рождение прозаика и публициста, исследовавшего войну и науку</t>
  </si>
  <si>
    <t>Отец Александр Данилович / мать Анна Захарьевна</t>
  </si>
  <si>
    <t>Биографии, справки (фонды РГБ)</t>
  </si>
  <si>
    <t>Архивные материалы</t>
  </si>
  <si>
    <t>Поступление в ЛЭТИ</t>
  </si>
  <si>
    <t>Выбрал профессию инженера-электрика.</t>
  </si>
  <si>
    <t>Инженерный опыт позже отразился в его книгах.</t>
  </si>
  <si>
    <t>Начало Великой Отечественной войны</t>
  </si>
  <si>
    <t>Ушел добровольцем на фронт.</t>
  </si>
  <si>
    <t>Участие в боях стало источником тем для будущих произведений.</t>
  </si>
  <si>
    <t>Демобилизация и возвращение в Ленинград</t>
  </si>
  <si>
    <t>Вернулся к инженерной работе, начал пробовать себя в литературе.</t>
  </si>
  <si>
    <t>Опыт фронтовика помогал писать честно и глубоко.</t>
  </si>
  <si>
    <t>Публикации</t>
  </si>
  <si>
    <t>Опубликованы рассказы и первая книга.</t>
  </si>
  <si>
    <t>Произведения получают признание среди литературных деятелей.</t>
  </si>
  <si>
    <t>Литературные современники и критики</t>
  </si>
  <si>
    <t>Выход романа «Искатели»</t>
  </si>
  <si>
    <t>Произведение о молодых инженерах принесло ему известность.</t>
  </si>
  <si>
    <t>Гранин стал одним из ведущих советских прозаиков.</t>
  </si>
  <si>
    <t>Общественная деятельность</t>
  </si>
  <si>
    <t>Поднимал вопросы морали и гражданской ответственности.</t>
  </si>
  <si>
    <t>Активная творческая и социальная жизнь писателя.</t>
  </si>
  <si>
    <t>Издание «Блокадной книги»</t>
  </si>
  <si>
    <t>Совместно с Адамовичем — на основе воспоминаний очевидцев.</t>
  </si>
  <si>
    <t>Книга стала символом памяти о подвиге ленинградцев.</t>
  </si>
  <si>
    <t>Роман «Зубр»</t>
  </si>
  <si>
    <t>Книга о выдающемся биологе Тимофееве-Ресовском.</t>
  </si>
  <si>
    <t>Гранин исследовал судьбу ученого и проблемы ответственности науки.</t>
  </si>
  <si>
    <t>Выход романа «Бегство в Россию»</t>
  </si>
  <si>
    <t>Попытка в жанре детектива.</t>
  </si>
  <si>
    <t>Эксперименты с жанрами.</t>
  </si>
  <si>
    <t>Скончался на 99-м году жизни.</t>
  </si>
  <si>
    <t>Его творчество стало примером честности, гуманизма и памяти о войне.</t>
  </si>
  <si>
    <t>А.С. Грин</t>
  </si>
  <si>
    <t>23.08.1880</t>
  </si>
  <si>
    <t>Вятка</t>
  </si>
  <si>
    <t>Будущий писатель — сын сосланного поляка.</t>
  </si>
  <si>
    <t>Рождение писателя-романтика.</t>
  </si>
  <si>
    <t>Отец Стефан Евзибиевич / мать Анна Степановна</t>
  </si>
  <si>
    <t>Окончание училища</t>
  </si>
  <si>
    <t>Работал землемером, учителем, иконописцем.</t>
  </si>
  <si>
    <t>Поиски себя, которые отразятся в будущем творчестве.</t>
  </si>
  <si>
    <t>Служба в армии</t>
  </si>
  <si>
    <t>Мобилизован, но не привлекался к службе. Пытался дезертировать.</t>
  </si>
  <si>
    <t>Грин откинул идею стать военным и стал противником насилия.</t>
  </si>
  <si>
    <t>Участие в революционном движении</t>
  </si>
  <si>
    <t>Вступил в партию эсеров, распространял прокламации.</t>
  </si>
  <si>
    <t>Вскоре отошел от политики, поняв, что это не его.</t>
  </si>
  <si>
    <t>Написал рассказы «Заслуга рядового Пантелеева» и «Слон и Моська».</t>
  </si>
  <si>
    <t>Начало творческой карьеры.</t>
  </si>
  <si>
    <t>Максим Горький</t>
  </si>
  <si>
    <t>Формирование «гринландии»</t>
  </si>
  <si>
    <t>Появилась вымышленная страна — «гринландия».</t>
  </si>
  <si>
    <t>У Грина вырабатывается собственный узнаваемый стиль.</t>
  </si>
  <si>
    <t>Публикация «Алых парусов»</t>
  </si>
  <si>
    <t>Самое известное произведение Грина.</t>
  </si>
  <si>
    <t>Повесть стала символом надежды и веры в чудо.</t>
  </si>
  <si>
    <t>Роман «Бегущая по волнам»</t>
  </si>
  <si>
    <t>Еще одно знаковое произведение о поисках свободы и счастья.</t>
  </si>
  <si>
    <t>Грин укоренился в излюбленном жанре.</t>
  </si>
  <si>
    <t>Запрет на публикации</t>
  </si>
  <si>
    <t>Советская цензура запретила новые произведения.</t>
  </si>
  <si>
    <t>Несмотря на трудности, Грин был реабилитирован посмертно.</t>
  </si>
  <si>
    <t>Старый Крым</t>
  </si>
  <si>
    <t>Умер в бедности и забвении.</t>
  </si>
  <si>
    <t>Кончина великого писателя-романтика.</t>
  </si>
  <si>
    <t>Н.С. Гумилев</t>
  </si>
  <si>
    <t>15.04.1886</t>
  </si>
  <si>
    <t>Кронштадт</t>
  </si>
  <si>
    <t>Вырос в интеллигентной семье, проявлял интерес к литературе и путешествиям.</t>
  </si>
  <si>
    <t>Сооснователь акмеизма, важная фигура Серебряного века</t>
  </si>
  <si>
    <t>Отец Степан Яковлевич / мать Анна Ивановна</t>
  </si>
  <si>
    <t>Первые публикации</t>
  </si>
  <si>
    <t>Появление первых стихотворений в «Тифлисском листке».</t>
  </si>
  <si>
    <t>Начало творческого пути Гумилева</t>
  </si>
  <si>
    <t>Издание сборника «Путь конквистадоров»</t>
  </si>
  <si>
    <t>Молодой поэт заявил о себе как о «романтике завоеваний».</t>
  </si>
  <si>
    <t>Гумилев начинает набирать вес среди современников.</t>
  </si>
  <si>
    <t>Учеба в Париже</t>
  </si>
  <si>
    <t>Посещал лекции в Сорбонне, общался с французскими поэтами.</t>
  </si>
  <si>
    <t>Расширил художественный кругозор.</t>
  </si>
  <si>
    <t>Сорбонна</t>
  </si>
  <si>
    <t>Ведущий университет Парижа</t>
  </si>
  <si>
    <t>Основание журнала «Сириус»</t>
  </si>
  <si>
    <t>Создал журнал, где напечатал стихотворение Ахматовой.</t>
  </si>
  <si>
    <t>Журнал стал площадкой для молодых поэтов.</t>
  </si>
  <si>
    <t>Первая поездка в Абиссинию</t>
  </si>
  <si>
    <t>Побывал в Аддис-Абебе, был представлен негусу.</t>
  </si>
  <si>
    <t>Писал очерки об Африке.</t>
  </si>
  <si>
    <t>Женитьба на Ахматовой</t>
  </si>
  <si>
    <t>Обвенчался с Анной Горенко (Ахматовой).</t>
  </si>
  <si>
    <t>Их отношения отразились в стихах обоих.</t>
  </si>
  <si>
    <t>Создание «Цеха поэтов»</t>
  </si>
  <si>
    <t>Стал одним из лидеров акмеизма.</t>
  </si>
  <si>
    <t>Развитие акмеизма как литературного течения.</t>
  </si>
  <si>
    <t>Ахматова, Мандельштам</t>
  </si>
  <si>
    <t>Цех поэтов</t>
  </si>
  <si>
    <t>Поэтическое объединение начала XX века</t>
  </si>
  <si>
    <t>Участие в Первой мировой войне</t>
  </si>
  <si>
    <t>Добровольно пошел на фронт, проявил храбрость.</t>
  </si>
  <si>
    <t>Опыт войны нашел отражение в его стихах.</t>
  </si>
  <si>
    <t>Расстрел</t>
  </si>
  <si>
    <t>Был арестован по обвинению в участии в «Таганцевском заговоре» и казнен.</t>
  </si>
  <si>
    <t>Его смерть стала трагедией Серебряного века.</t>
  </si>
  <si>
    <t>Г.Р. Державин</t>
  </si>
  <si>
    <t>14.07.1743</t>
  </si>
  <si>
    <t>Казанская губерния</t>
  </si>
  <si>
    <t>Появился в небогатой дворянской семье.</t>
  </si>
  <si>
    <t>Рождение будущего классика русской поэзии</t>
  </si>
  <si>
    <t>Отец Роман Николаевич / мать Фекла Андреевна</t>
  </si>
  <si>
    <t>Поступление в Казанскую гимназию</t>
  </si>
  <si>
    <t>Проучился менее двух лет, изучил азы наук.</t>
  </si>
  <si>
    <t>Учеба открыла доступ к литературе и наукам.</t>
  </si>
  <si>
    <t>Начало военной службы</t>
  </si>
  <si>
    <t>Служил гвардейцем в Преображенском полку.</t>
  </si>
  <si>
    <t>Служба при дворе дала опыт и связи.</t>
  </si>
  <si>
    <t>Первые стихи</t>
  </si>
  <si>
    <t>Заявил о себе как о мастере высокой оды.</t>
  </si>
  <si>
    <t>Его первые стихи обратили на себя внимание.</t>
  </si>
  <si>
    <t>Ода «Фелица»</t>
  </si>
  <si>
    <t>Посвящена Екатерине II.</t>
  </si>
  <si>
    <t>Принесла Державину всероссийскую славу.</t>
  </si>
  <si>
    <t>Императрица Екатерина II</t>
  </si>
  <si>
    <t>Назначение губернатором</t>
  </si>
  <si>
    <t>Произвел реформы в Тамбовской губернии.</t>
  </si>
  <si>
    <t>Открыта типография, училища и театры.</t>
  </si>
  <si>
    <t>Кабинет-секретарь Екатерины II</t>
  </si>
  <si>
    <t>Проявил независимость и честность.</t>
  </si>
  <si>
    <t>Продолжил реформаторскую деятельность.</t>
  </si>
  <si>
    <t>Министр юстиции</t>
  </si>
  <si>
    <t>Вошел в высшее руководство страны.</t>
  </si>
  <si>
    <t>Занимался проверкой деятельности губернаторов.</t>
  </si>
  <si>
    <t>08.07.1816</t>
  </si>
  <si>
    <t>Званка, Новгородская губерния</t>
  </si>
  <si>
    <t>Ушел из жизни в своем доме.</t>
  </si>
  <si>
    <t>Творчество повлияло на Пушкина и последующие поколения.</t>
  </si>
  <si>
    <t>11.11.1821</t>
  </si>
  <si>
    <t>Вырос в семье врача Мариинской больницы.</t>
  </si>
  <si>
    <t>Рождение будущего важнейшего русского романиста</t>
  </si>
  <si>
    <t>Отец Михаил Андреевич / мать Мария Федоровна</t>
  </si>
  <si>
    <t>Поступление в Инженерное училище</t>
  </si>
  <si>
    <t>Получил техническое образование, увлекся литературой.</t>
  </si>
  <si>
    <t>Начал первые переводы и задумал оригинальные произведения.</t>
  </si>
  <si>
    <t>Решил посвятить себя писательству.</t>
  </si>
  <si>
    <t>Стал переводить и публиковать рассказы.</t>
  </si>
  <si>
    <t>Публикация «Бедных людей»</t>
  </si>
  <si>
    <t>Первая книга принесла известность.</t>
  </si>
  <si>
    <t>Критики назвали его «новым Гоголем».</t>
  </si>
  <si>
    <t>Белинский</t>
  </si>
  <si>
    <t>Арест по делу петрашевцев</t>
  </si>
  <si>
    <t>Приговорен к смертной казни, замененной каторгой.</t>
  </si>
  <si>
    <t>Стал для него духовным испытанием.</t>
  </si>
  <si>
    <t>Каторга в Омске</t>
  </si>
  <si>
    <t>Четыре года в тяжелых условиях среди преступников.</t>
  </si>
  <si>
    <t>Укрепил интерес к «униженным и оскорбленным» и религиозную веру.</t>
  </si>
  <si>
    <t>Издание журнала «Время»</t>
  </si>
  <si>
    <t>Вместе с братом выпускал литературно-политический журнал.</t>
  </si>
  <si>
    <t>Активное участие в общественной и литературной жизни.</t>
  </si>
  <si>
    <t>«Преступление и наказание»</t>
  </si>
  <si>
    <t>Исследуются мораль, вина и раскаяние.</t>
  </si>
  <si>
    <t>Роман закрепил за Достоевским славу великого психолога.</t>
  </si>
  <si>
    <t>«Братья Карамазовы»</t>
  </si>
  <si>
    <t>Последняя и величайшая работа Достоевского.</t>
  </si>
  <si>
    <t>Обобщены все его философские и религиозные идеи.</t>
  </si>
  <si>
    <t>09.02.1881</t>
  </si>
  <si>
    <t>Умер от туберкулеза и эмфиземы легких.</t>
  </si>
  <si>
    <t>Произведения оказали огромное влияние на мировую культуру.</t>
  </si>
  <si>
    <t>Вырица, Санкт-Петербургская губерния</t>
  </si>
  <si>
    <t>Появился в семье лесничего.</t>
  </si>
  <si>
    <t>Рождение будущего писателя-фантаста и палеонтолога</t>
  </si>
  <si>
    <t>Отец Антип Харитонович / мать Варвара Александровна</t>
  </si>
  <si>
    <t>Сиротство</t>
  </si>
  <si>
    <t>Рано остался без родителей, зарабатывал на жизнь разными работами.</t>
  </si>
  <si>
    <t>Ужасы гражданской войны повлияли на мировоззрение.</t>
  </si>
  <si>
    <t>Работа в порту</t>
  </si>
  <si>
    <t>Отправился с экипажем на Дальний Восток.</t>
  </si>
  <si>
    <t>Мечта стать моряком не осуществилась, но впечатления отразились в книгах.</t>
  </si>
  <si>
    <t>Поступление в ЛГУ</t>
  </si>
  <si>
    <t>Поступил на геолого-палеонтологический факультет.</t>
  </si>
  <si>
    <t>Начало научной карьеры.</t>
  </si>
  <si>
    <t>Участие в экспедициях</t>
  </si>
  <si>
    <t>Участвовал в палеонтологических и геологических экспедициях.</t>
  </si>
  <si>
    <t>Дал материал для рассказов о силе человека и красоте природы.</t>
  </si>
  <si>
    <t>Защита докторской диссертации</t>
  </si>
  <si>
    <t>Защитил диссертацию по фауне перми СССР.</t>
  </si>
  <si>
    <t>Стал одним из ведущих специалистов СССР.</t>
  </si>
  <si>
    <t>Публикация рассказов</t>
  </si>
  <si>
    <t>Первые литературные произведения в журнале «Краснофлотец».</t>
  </si>
  <si>
    <t>Первый художественный успех.</t>
  </si>
  <si>
    <t>«Туманность Андромеды»</t>
  </si>
  <si>
    <t>Опубликован знаменитый роман.</t>
  </si>
  <si>
    <t>Главное произведение, ставшее классикой советской фантастики.</t>
  </si>
  <si>
    <t>Скончался от сердечной недостаточности.</t>
  </si>
  <si>
    <t>Оставил наследие и в науке, и в литературе.</t>
  </si>
  <si>
    <t>09.02.1783</t>
  </si>
  <si>
    <t>Мишенское, Орловская губерния</t>
  </si>
  <si>
    <t>Внебрачный сын помещика и турчанки.</t>
  </si>
  <si>
    <t>Рождение выдающегося переводчика и романтического поэта</t>
  </si>
  <si>
    <t>Отец Афанасий Иванович / мать Елизавета Дементьевна</t>
  </si>
  <si>
    <t>Биографические записи</t>
  </si>
  <si>
    <t>Поступление в Московский пансион</t>
  </si>
  <si>
    <t>Проявил способности к литературе и переводу.</t>
  </si>
  <si>
    <t>Начал писать стихи и переводить иностранных авторов.</t>
  </si>
  <si>
    <t>Известность</t>
  </si>
  <si>
    <t>Вышел перевод элегии Томаса Грея «Сельское кладбище».</t>
  </si>
  <si>
    <t>Принес известность как поэту и мастеру перевода.</t>
  </si>
  <si>
    <t>Преподавание в университете</t>
  </si>
  <si>
    <t>Стал учителем словесности в Московском университете.</t>
  </si>
  <si>
    <t>Активно занимался переводами и написанием стихотворений.</t>
  </si>
  <si>
    <t>Отечественная война</t>
  </si>
  <si>
    <t>Служил офицером народного ополчения.</t>
  </si>
  <si>
    <t>Война повлияла на мировоззрение поэта.</t>
  </si>
  <si>
    <t>Баллада «Светлана»</t>
  </si>
  <si>
    <t>Стала классикой русского романтизма.</t>
  </si>
  <si>
    <t>Оказала сильное влияние на поэзию XIX века.</t>
  </si>
  <si>
    <t>Наставник великой княжны</t>
  </si>
  <si>
    <t>Был назначен наставником Александры Фёдоровны.</t>
  </si>
  <si>
    <t>Повышение влияния при дворе.</t>
  </si>
  <si>
    <t>Наставник будущего императора</t>
  </si>
  <si>
    <t>Стал наставником Александра II.</t>
  </si>
  <si>
    <t>Воспитывал в духе гуманности и либеральных идей.</t>
  </si>
  <si>
    <t>Александр II</t>
  </si>
  <si>
    <t>Отставка и переезд за границу</t>
  </si>
  <si>
    <t>Переехал в Германию, продолжал литературную деятельность.</t>
  </si>
  <si>
    <t>Поддерживал переписку с русскими писателями.</t>
  </si>
  <si>
    <t>12.04.1852</t>
  </si>
  <si>
    <t>Баден-Баден</t>
  </si>
  <si>
    <t>Умер в Германии, тело перевезли в Петербург.</t>
  </si>
  <si>
    <t>Вошёл в историю как «первый русский романтик».</t>
  </si>
  <si>
    <t>10.08.1894</t>
  </si>
  <si>
    <t>Появился в семье художника.</t>
  </si>
  <si>
    <t>Будущий сатирик и мастер короткого рассказа</t>
  </si>
  <si>
    <t>Отец Михаил Иванович / мать Елена Осиповна</t>
  </si>
  <si>
    <t>Поступил в Санкт-Петербургский университет, но был отчислен.</t>
  </si>
  <si>
    <t>Дал системное образование и навыки аналитического мышления.</t>
  </si>
  <si>
    <t>Записался в добровольцы, получил боевые награды.</t>
  </si>
  <si>
    <t>Опыт фронта сделал его близким к простому человеку.</t>
  </si>
  <si>
    <t>Первые литературные опыты</t>
  </si>
  <si>
    <t>Пробовал себя в разных профессиях, постепенно уходил в литературу.</t>
  </si>
  <si>
    <t>Поиск себя и своего поприща.</t>
  </si>
  <si>
    <t>Публикация первых рассказов</t>
  </si>
  <si>
    <t>Начал печататься, писал короткие комические рассказы.</t>
  </si>
  <si>
    <t>Первые печатные дебюты.</t>
  </si>
  <si>
    <t>Участие в «Серапионовых братьях»</t>
  </si>
  <si>
    <t>Примкнул к литературной группе.</t>
  </si>
  <si>
    <t>Укрепился как сатирик и юморист.</t>
  </si>
  <si>
    <t>«Голубая книга»</t>
  </si>
  <si>
    <t>Сборник стал одним из самых известных произведений.</t>
  </si>
  <si>
    <t>Принес сатирику известность и признание.</t>
  </si>
  <si>
    <t>Постановление ЦК ВКП(б)</t>
  </si>
  <si>
    <t>Подвергся критике, фактически отстранен от печати.</t>
  </si>
  <si>
    <t>Несмотря на изгнание, о произведениях помнили.</t>
  </si>
  <si>
    <t>Умер от острой сердечной недостаточности.</t>
  </si>
  <si>
    <t>Сегодня Зощенко считается классиком русской сатиры.</t>
  </si>
  <si>
    <t>12.12.1766</t>
  </si>
  <si>
    <t>Симбирская губерния</t>
  </si>
  <si>
    <t>Появился в семье небогатого дворянина.</t>
  </si>
  <si>
    <t>Основоположник русского исторического романа</t>
  </si>
  <si>
    <t>Отец Михаил / мать Екатерина</t>
  </si>
  <si>
    <t>Получил фундаментальное образование.</t>
  </si>
  <si>
    <t>Начало обучения и становление интересов.</t>
  </si>
  <si>
    <t>Путешествие по Европе</t>
  </si>
  <si>
    <t>Познакомился с Кантом, стал свидетелем Французской революции.</t>
  </si>
  <si>
    <t>Впечатления отразились в «Письмах русского путешественника».</t>
  </si>
  <si>
    <t>«Письма русского путешественника»</t>
  </si>
  <si>
    <t>Принесли широкую известность.</t>
  </si>
  <si>
    <t>Открыли в России эпоху сентиментализма.</t>
  </si>
  <si>
    <t>«Бедная Лиза»</t>
  </si>
  <si>
    <t>Одно из первых произведений русской сентиментальной прозы.</t>
  </si>
  <si>
    <t>Стала символом целого литературного направления.</t>
  </si>
  <si>
    <t>Назначение историографом</t>
  </si>
  <si>
    <t>Поручено создание «Истории государства Российского».</t>
  </si>
  <si>
    <t>Стало делом всей его жизни.</t>
  </si>
  <si>
    <t>Александр I</t>
  </si>
  <si>
    <t>Публикация «Истории...» (т. 1–8)</t>
  </si>
  <si>
    <t>Вышла первая часть монументального труда.</t>
  </si>
  <si>
    <t>Имел колоссальное значение для российской науки и литературы.</t>
  </si>
  <si>
    <t>Издания «Истории»</t>
  </si>
  <si>
    <t>Первые тома</t>
  </si>
  <si>
    <t>03.06.1826</t>
  </si>
  <si>
    <t>Скончался в Санкт-Петербурге.</t>
  </si>
  <si>
    <t>Оставил наследие как первый русский историк-литератор.</t>
  </si>
  <si>
    <t>М.Ю. Лермонтов</t>
  </si>
  <si>
    <t>15.10.1814</t>
  </si>
  <si>
    <t>Появился в дворянской семье.</t>
  </si>
  <si>
    <t>Рождение выдающегося романтика и драматурга</t>
  </si>
  <si>
    <t>Отец Юрий Петрович / мать Мария Михайловна</t>
  </si>
  <si>
    <t>Поступление в пансион</t>
  </si>
  <si>
    <t>Началась серьезная учеба и первые поэтические опыты.</t>
  </si>
  <si>
    <t>Уже тогда активно интересовался поэзией.</t>
  </si>
  <si>
    <t>Учеба на словесном отделении развивала талант.</t>
  </si>
  <si>
    <t>Лермонтов ищет себя, формируется его мировоззрение.</t>
  </si>
  <si>
    <t>Перевод в юнкерское училище</t>
  </si>
  <si>
    <t>Поступил в Школу гвардейских подпрапорщиков.</t>
  </si>
  <si>
    <t>Военная служба повлияла на мировоззрение.</t>
  </si>
  <si>
    <t>«Смерть поэта»</t>
  </si>
  <si>
    <t>Написал стихотворение после гибели Пушкина.</t>
  </si>
  <si>
    <t>Показал себя как продолжатель пушкинской традиции.</t>
  </si>
  <si>
    <t>Первая ссылка на Кавказ</t>
  </si>
  <si>
    <t>Был сослан за стихотворение.</t>
  </si>
  <si>
    <t>Кавказские впечатления наполнили творчество яркими образами.</t>
  </si>
  <si>
    <t>«Герой нашего времени»</t>
  </si>
  <si>
    <t>Первый русский психологический роман.</t>
  </si>
  <si>
    <t>Стал визитной карточкой Лермонтова.</t>
  </si>
  <si>
    <t>Дуэль и вторая ссылка</t>
  </si>
  <si>
    <t>Дуэль с де Барантом привела к новой ссылке.</t>
  </si>
  <si>
    <t>Продолжал писать и участвовать в боевых действиях.</t>
  </si>
  <si>
    <t>27.07.1841</t>
  </si>
  <si>
    <t>Пятигорск</t>
  </si>
  <si>
    <t>Гибель на дуэли</t>
  </si>
  <si>
    <t>Погиб в возрасте 26 лет в дуэли с Мартыновым.</t>
  </si>
  <si>
    <t>Несмотря на короткую жизнь, оставил богатое наследие.</t>
  </si>
  <si>
    <t>16.02.1831</t>
  </si>
  <si>
    <t>Орловская губерния</t>
  </si>
  <si>
    <t>Вырос в семье мелкого чиновника.</t>
  </si>
  <si>
    <t>Рождение мастера русского рассказа</t>
  </si>
  <si>
    <t>Отец Семен Дмитриевич / мать Елизавета Петровна</t>
  </si>
  <si>
    <t>Обучение в гимназии</t>
  </si>
  <si>
    <t>Учился в Орловской гимназии, не преуспевал.</t>
  </si>
  <si>
    <t>Проявилась любовь к чтению и самостоятельному образованию.</t>
  </si>
  <si>
    <t>Служба в уголовной палате</t>
  </si>
  <si>
    <t>Поступил на службу в Орловский суд.</t>
  </si>
  <si>
    <t>Опыт чиновничьей работы повлиял на прозу.</t>
  </si>
  <si>
    <t>Жизнь в Киеве</t>
  </si>
  <si>
    <t>Работал в казенной палате, посещал лекции.</t>
  </si>
  <si>
    <t>Глубоко изучил жизнь народа.</t>
  </si>
  <si>
    <t>Начал печататься в газетах и журналах.</t>
  </si>
  <si>
    <t>Первые опыты в литературе.</t>
  </si>
  <si>
    <t>«Леди Макбет Мценского уезда»</t>
  </si>
  <si>
    <t>Повесть принесла известность.</t>
  </si>
  <si>
    <t>Показал мастерство в изображении страстей и конфликтов.</t>
  </si>
  <si>
    <t>Создание «сказов»</t>
  </si>
  <si>
    <t>Появились «Очарованный странник», «Запечатленный ангел».</t>
  </si>
  <si>
    <t>Стал мастером народного языка.</t>
  </si>
  <si>
    <t>«Левша»</t>
  </si>
  <si>
    <t>Опубликовал «Сказ о тульском косом Левше».</t>
  </si>
  <si>
    <t>Герой стал одним из самых ярких образов.</t>
  </si>
  <si>
    <t>05.03.1895</t>
  </si>
  <si>
    <t>Скончался от приступа астмы.</t>
  </si>
  <si>
    <t>Оставил наследие в форме рассказа и прозы.</t>
  </si>
  <si>
    <t>06.11.1852</t>
  </si>
  <si>
    <t>Висимо-Шайтанский, Пермская губерния</t>
  </si>
  <si>
    <t>Вырос в семье заводского священника.</t>
  </si>
  <si>
    <t>Рождение «летописца Урала»</t>
  </si>
  <si>
    <t>Отец Наркис Матвеевич / мать Анна Семеновна</t>
  </si>
  <si>
    <t>Обучение в духовных училищах</t>
  </si>
  <si>
    <t>Учился в Екатеринбурге и Перми.</t>
  </si>
  <si>
    <t>Получил первые серьезные знания и начал писать.</t>
  </si>
  <si>
    <t>Поступление в Петербург</t>
  </si>
  <si>
    <t>Поступил в медико-хирургическую академию.</t>
  </si>
  <si>
    <t>Жизнь в Петербурге дала возможность войти в литературную среду.</t>
  </si>
  <si>
    <t>«Приваловские миллионы»</t>
  </si>
  <si>
    <t>Роман отразил противоречия уральской жизни.</t>
  </si>
  <si>
    <t>Произведение принесло автору известность.</t>
  </si>
  <si>
    <t>Литература для детей</t>
  </si>
  <si>
    <t>Написал «Аленушкины сказки».</t>
  </si>
  <si>
    <t>Стал любимым детским писателем.</t>
  </si>
  <si>
    <t>Ушел из жизни в возрасте 60 лет.</t>
  </si>
  <si>
    <t>Оставил богатое наследие.</t>
  </si>
  <si>
    <t>14.01.1891</t>
  </si>
  <si>
    <t>Варшава</t>
  </si>
  <si>
    <t>Появился в семье еврейского купца.</t>
  </si>
  <si>
    <t>Рождение одного из ключевых поэтов акмеизма</t>
  </si>
  <si>
    <t>Отец Эмиль Вениаминович / мать Флора Овсеевна</t>
  </si>
  <si>
    <t>Метрические данные</t>
  </si>
  <si>
    <t>Окончание Тенишевского училища</t>
  </si>
  <si>
    <t>Получил среднее образование в Петербурге.</t>
  </si>
  <si>
    <t>Сформировался литературный вкус.</t>
  </si>
  <si>
    <t>Поступил на историко-филологический факультет.</t>
  </si>
  <si>
    <t>Открыл дорогу к высшему образованию и знакомствам.</t>
  </si>
  <si>
    <t>Вступление в «Цех поэтов»</t>
  </si>
  <si>
    <t>Заявил о себе как о мастере «каменного слова».</t>
  </si>
  <si>
    <t>Стал одним из ведущих представителей акмеизма.</t>
  </si>
  <si>
    <t>Ахматова, Гумилев</t>
  </si>
  <si>
    <t>Поэтическое объединение</t>
  </si>
  <si>
    <t>Сборник «Камень»</t>
  </si>
  <si>
    <t>Принес литературную известность.</t>
  </si>
  <si>
    <t>Определил его как классика нового направления.</t>
  </si>
  <si>
    <t>Сборник «Tristia»</t>
  </si>
  <si>
    <t>Проявились мотивы изгнания и трагического восприятия истории.</t>
  </si>
  <si>
    <t>Писал о Первой мировой и Октябрьской революции.</t>
  </si>
  <si>
    <t>Стихотворение о Сталине</t>
  </si>
  <si>
    <t>Написал эпиграмму «Мы живем, под собою не чуя страны…».</t>
  </si>
  <si>
    <t>Стало причиной ареста.</t>
  </si>
  <si>
    <t>Под Владивостоком</t>
  </si>
  <si>
    <t>Скончался в пересыльном лагере.</t>
  </si>
  <si>
    <t>Его творчество стало символом духовного сопротивления.</t>
  </si>
  <si>
    <t>19.07.1893</t>
  </si>
  <si>
    <t>Багдади, Грузия</t>
  </si>
  <si>
    <t>Вырос в семье лесничего.</t>
  </si>
  <si>
    <t>Рождение одного из ведущих поэтов авангарда</t>
  </si>
  <si>
    <t>Отец Владимир Константинович / мать Александра Алексеевна</t>
  </si>
  <si>
    <t>Переезд в Москву</t>
  </si>
  <si>
    <t>После смерти отца переехал с семьей в Москву.</t>
  </si>
  <si>
    <t>В Москве столкнулся с революционными настроениями.</t>
  </si>
  <si>
    <t>Вступление в РСДРП</t>
  </si>
  <si>
    <t>Увлекся марксизмом, участвовал в революционной деятельности.</t>
  </si>
  <si>
    <t>Эти годы сделали его поэтом-бунтарем.</t>
  </si>
  <si>
    <t>Поступление в художественное училище</t>
  </si>
  <si>
    <t>Познакомился с футуристами, начал писать стихи.</t>
  </si>
  <si>
    <t>Художественное образование повлияло на образный язык.</t>
  </si>
  <si>
    <t>«Пощечина общественному вкусу»</t>
  </si>
  <si>
    <t>Первые стихи в сборнике футуристов.</t>
  </si>
  <si>
    <t>Заявил о себе как о новаторе.</t>
  </si>
  <si>
    <t>Василий Каменский, Давид Бурлюк</t>
  </si>
  <si>
    <t>Знакомство с Бриками</t>
  </si>
  <si>
    <t>Познакомился с Лилей Брик.</t>
  </si>
  <si>
    <t>Лиля стала музой Маяковского.</t>
  </si>
  <si>
    <t>Принятие Октябрьской революции</t>
  </si>
  <si>
    <t>Посвятил множество стихов революции.</t>
  </si>
  <si>
    <t>Стал «поэтом революции».</t>
  </si>
  <si>
    <t>Создание известных поэм</t>
  </si>
  <si>
    <t>Написал «150 000 000», «Люблю», «Владимир Ильич Ленин».</t>
  </si>
  <si>
    <t>Закрепил роль официального поэта эпохи.</t>
  </si>
  <si>
    <t>Самоубийство</t>
  </si>
  <si>
    <t>Покончил с собой выстрелом в грудь.</t>
  </si>
  <si>
    <t>Смерть стала трагедией для литературы.</t>
  </si>
  <si>
    <t>10.12.1821</t>
  </si>
  <si>
    <t>Немиров, Подольская губерния</t>
  </si>
  <si>
    <t>Появился в семье армейского офицера.</t>
  </si>
  <si>
    <t>Рождение поэта, чья лирика стала голосом общественной критики</t>
  </si>
  <si>
    <t>Отец Алексей Сергеевич / мать Елена Андреевна</t>
  </si>
  <si>
    <t>Уже увлекался поэзией, конфликтовал с учителями.</t>
  </si>
  <si>
    <t>Проявился литературный талант.</t>
  </si>
  <si>
    <t>Поступил в университет, вел тяжелую жизнь.</t>
  </si>
  <si>
    <t>Материальные трудности сподвигли печататься.</t>
  </si>
  <si>
    <t>«Мечты и звуки»</t>
  </si>
  <si>
    <t>Первый сборник стихов.</t>
  </si>
  <si>
    <t>Понял, что его путь — обращение к жизни простого народа.</t>
  </si>
  <si>
    <t>Сотрудничество с «Современником»</t>
  </si>
  <si>
    <t>Выкупил журнал вместе с Панаевым, стал редактором.</t>
  </si>
  <si>
    <t>Получил возможность влиять на развитие литературы.</t>
  </si>
  <si>
    <t>И.И. Панаев, А.С. Пушкин</t>
  </si>
  <si>
    <t>Журнал «Современник»</t>
  </si>
  <si>
    <t>Литературный и общественно-политический журнал</t>
  </si>
  <si>
    <t>«Коробейники»</t>
  </si>
  <si>
    <t>Показал народную жизнь с радостями и трагедиями.</t>
  </si>
  <si>
    <t>Произведение принесло широкую известность.</t>
  </si>
  <si>
    <t>Поэмы «Мороз, Красный нос», «Русские женщины»</t>
  </si>
  <si>
    <t>Продолжил дело народного крестьянского творчества.</t>
  </si>
  <si>
    <t>Закрепил себя как «поэта народной доли».</t>
  </si>
  <si>
    <t>«Кому на Руси жить хорошо»</t>
  </si>
  <si>
    <t>Центральная работа, над которой работал до конца жизни.</t>
  </si>
  <si>
    <t>Стала художественной энциклопедией народной жизни.</t>
  </si>
  <si>
    <t>08.01.1878</t>
  </si>
  <si>
    <t>Ушел из жизни как один из крупнейших поэтов XIX века.</t>
  </si>
  <si>
    <t>Упрочил традицию социальной поэзии.</t>
  </si>
  <si>
    <t>06.06.1799</t>
  </si>
  <si>
    <t>Рождение основоположника новой русской литературы</t>
  </si>
  <si>
    <t>Отец Сергей Львович / мать Надежда Осиповна</t>
  </si>
  <si>
    <t>Поступление в Царскосельский лицей</t>
  </si>
  <si>
    <t>Шесть лет учился в лицее, начал печататься.</t>
  </si>
  <si>
    <t>Стал важнейшим этапом в становлении.</t>
  </si>
  <si>
    <t>Императорский Царскосельский лицей</t>
  </si>
  <si>
    <t>Привилегированное учебное заведение</t>
  </si>
  <si>
    <t>Вышли стихи в журнале «Вестник Европы».</t>
  </si>
  <si>
    <t>Начало литературной карьеры.</t>
  </si>
  <si>
    <t>Окончание лицея и служба</t>
  </si>
  <si>
    <t>Определен в Коллегию иностранных дел.</t>
  </si>
  <si>
    <t>Вступил в литературные сообщества, водил дружбу с декабристами.</t>
  </si>
  <si>
    <t>«Руслан и Людмила»</t>
  </si>
  <si>
    <t>Поэма увидела свет в мае 1820 года.</t>
  </si>
  <si>
    <t>Принесла всероссийскую славу.</t>
  </si>
  <si>
    <t>Ссылка на юг России</t>
  </si>
  <si>
    <t>Отправлен за вольнолюбивые стихи.</t>
  </si>
  <si>
    <t>Стал временем поэтической зрелости.</t>
  </si>
  <si>
    <t>Встреча с Николаем I</t>
  </si>
  <si>
    <t>Император взял Пушкина под личный надзор.</t>
  </si>
  <si>
    <t>Дал относительную свободу, но сделал зависимым от власти.</t>
  </si>
  <si>
    <t>Николай I</t>
  </si>
  <si>
    <t>02.03.1831</t>
  </si>
  <si>
    <t>Женитьба на Наталье Гончаровой</t>
  </si>
  <si>
    <t>Состоялось венчание в церкви Большого Вознесения.</t>
  </si>
  <si>
    <t>Семейная жизнь вдохновила на новые произведения.</t>
  </si>
  <si>
    <t>Основание «Современника»</t>
  </si>
  <si>
    <t>Создал собственный журнал.</t>
  </si>
  <si>
    <t>Стал значимой фигурой в издательском деле.</t>
  </si>
  <si>
    <t>10.02.1837</t>
  </si>
  <si>
    <t>Смерть от дуэли</t>
  </si>
  <si>
    <t>Скончался от ранения на дуэли с Дантесом.</t>
  </si>
  <si>
    <t>Гибель стала национальной трагедией.</t>
  </si>
  <si>
    <t>Жорж Шарль Дантес</t>
  </si>
  <si>
    <t>09.11.1818</t>
  </si>
  <si>
    <t>Орёл</t>
  </si>
  <si>
    <t>Появился в богатой дворянской семье.</t>
  </si>
  <si>
    <t>Рождение крупного романиста и переводчика</t>
  </si>
  <si>
    <t>Мать Варвара Петровна / отец Сергей Николаевич</t>
  </si>
  <si>
    <t>Обучение в пансионах Москвы</t>
  </si>
  <si>
    <t>Начал обучение в частных пансионах.</t>
  </si>
  <si>
    <t>Проявились способности к языкам и литературе.</t>
  </si>
  <si>
    <t>Учеба в университетах</t>
  </si>
  <si>
    <t>Учился в Московском, затем в Петербургском университете.</t>
  </si>
  <si>
    <t>Изучение филологии заложило основу для карьеры.</t>
  </si>
  <si>
    <t>Поступление в Берлинский университет</t>
  </si>
  <si>
    <t>Изучал философию и античную литературу.</t>
  </si>
  <si>
    <t>Сформировал гуманистическое мировоззрение.</t>
  </si>
  <si>
    <t>Поэма «Параша»</t>
  </si>
  <si>
    <t>Первое значительное произведение.</t>
  </si>
  <si>
    <t>Открыло ему путь в литературу.</t>
  </si>
  <si>
    <t>В.Г. Белинский</t>
  </si>
  <si>
    <t>«Записки охотника»</t>
  </si>
  <si>
    <t>Печатался в «Современнике».</t>
  </si>
  <si>
    <t>Сыграли большую роль в формировании мнения против крепостного права.</t>
  </si>
  <si>
    <t>Н.А. Некрасов, П.В. Анненков</t>
  </si>
  <si>
    <t>Арест и ссылка</t>
  </si>
  <si>
    <t>Наказан за некролог Гоголю.</t>
  </si>
  <si>
    <t>Опыт усилил протест против самодержавия.</t>
  </si>
  <si>
    <t>«Накануне»</t>
  </si>
  <si>
    <t>Роман о пробуждении новой России.</t>
  </si>
  <si>
    <t>Поднял тему поиска героев, готовых к переменам.</t>
  </si>
  <si>
    <t>«Отцы и дети»</t>
  </si>
  <si>
    <t>Самое известное произведение, образ Базарова.</t>
  </si>
  <si>
    <t>Стал символом споров поколений.</t>
  </si>
  <si>
    <t>03.09.1883</t>
  </si>
  <si>
    <t>Буживаль, Франция</t>
  </si>
  <si>
    <t>Скончался от осложнений болезни.</t>
  </si>
  <si>
    <t>Произведения вошли в сокровищницу мировой литературы.</t>
  </si>
  <si>
    <t>05.12.1803</t>
  </si>
  <si>
    <t>Овстуг, Орловская губерния</t>
  </si>
  <si>
    <t>Вырос в богатой дворянской семье.</t>
  </si>
  <si>
    <t>Один из выдающихся лирических поэтов XIX века</t>
  </si>
  <si>
    <t>Отец Иван / мать Екатерина</t>
  </si>
  <si>
    <t>Обучение в Московском университете</t>
  </si>
  <si>
    <t>Посещал как вольнослушатель, затем как студент.</t>
  </si>
  <si>
    <t>Изучал словесность и античную литературу.</t>
  </si>
  <si>
    <t>Начало дипломатической службы</t>
  </si>
  <si>
    <t>Поступил в Коллегию иностранных дел.</t>
  </si>
  <si>
    <t>Жизнь в Германии определила мировоззрение.</t>
  </si>
  <si>
    <t>Первые стихи в альманахе «Урания»</t>
  </si>
  <si>
    <t>Стало началом признания как поэта.</t>
  </si>
  <si>
    <t>Выделил его среди современников.</t>
  </si>
  <si>
    <t>Публикация стихов в «Современнике»</t>
  </si>
  <si>
    <t>Пушкин напечатал его стихи.</t>
  </si>
  <si>
    <t>Благодаря Пушкину стал известен в России.</t>
  </si>
  <si>
    <t>Возвращение в Петербург</t>
  </si>
  <si>
    <t>Вернулся в Министерство иностранных дел.</t>
  </si>
  <si>
    <t>В основном публиковал статьи и трактаты.</t>
  </si>
  <si>
    <t>Зрелое творчество</t>
  </si>
  <si>
    <t>Написал «Silentium!», «Умом Россию не понять».</t>
  </si>
  <si>
    <t>Принесли славу поэта-философа.</t>
  </si>
  <si>
    <t>27.07.1873</t>
  </si>
  <si>
    <t>Умер после инсульта.</t>
  </si>
  <si>
    <t>Оставил небольшое, но глубокое поэтическое наследие.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</si>
</sst>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1"/>
      <name val="Calibri"/>
      <family val="2"/>
      <charset val="204"/>
      <scheme val="minor"/>
    </font>
    <font>
      <u/>
      <sz val="11"/>
      <color theme="10"/>
      <name val="Calibri"/>
      <family val="2"/>
      <scheme val="minor"/>
    </font>
    <font>
      <sz val="11"/>
      <color rgb="FF000000"/>
      <name val="Calibri"/>
      <family val="2"/>
      <charset val="204"/>
    </font>
    <font>
      <sz val="11"/>
      <color rgb="FF000000"/>
      <name val="Calibri"/>
      <family val="2"/>
      <charset val="204"/>
      <scheme val="minor"/>
    </font>
    <font>
      <sz val="10"/>
      <color theme="1"/>
      <name val="Arial"/>
      <family val="2"/>
      <charset val="204"/>
    </font>
    <font>
      <b/>
      <sz val="14"/>
      <color theme="1"/>
      <name val="Calibri"/>
      <family val="2"/>
      <charset val="204"/>
      <scheme val="minor"/>
    </font>
    <font>
      <sz val="11"/>
      <color rgb="FF404040"/>
      <name val="Calibri"/>
      <family val="2"/>
      <charset val="204"/>
      <scheme val="minor"/>
    </font>
    <font>
      <i/>
      <sz val="11"/>
      <color theme="1"/>
      <name val="Calibri"/>
      <family val="2"/>
      <scheme val="minor"/>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0" fontId="2" fillId="0" borderId="0" applyNumberFormat="0" applyFill="0" applyBorder="0" applyAlignment="0" applyProtection="0"/>
  </cellStyleXfs>
  <cellXfs count="16">
    <xf numFmtId="0" fontId="0" fillId="0" borderId="0" xfId="0"/>
    <xf numFmtId="0" fontId="0" fillId="0" borderId="0" xfId="0" applyAlignment="1">
      <alignment wrapText="1"/>
    </xf>
    <xf numFmtId="0" fontId="2" fillId="0" borderId="0" xfId="1"/>
    <xf numFmtId="0" fontId="4" fillId="0" borderId="0" xfId="0" applyFont="1" applyAlignment="1">
      <alignment wrapText="1"/>
    </xf>
    <xf numFmtId="0" fontId="5" fillId="0" borderId="1" xfId="0" applyFont="1" applyBorder="1" applyAlignment="1">
      <alignment wrapText="1"/>
    </xf>
    <xf numFmtId="0" fontId="5" fillId="0" borderId="1" xfId="0" applyFont="1" applyBorder="1" applyAlignment="1">
      <alignment horizontal="center" wrapText="1"/>
    </xf>
    <xf numFmtId="0" fontId="1" fillId="0" borderId="0" xfId="0" applyFont="1" applyAlignment="1">
      <alignment wrapText="1"/>
    </xf>
    <xf numFmtId="0" fontId="6" fillId="0" borderId="0" xfId="0" applyFont="1" applyAlignment="1">
      <alignment horizontal="center" vertical="center" wrapText="1"/>
    </xf>
    <xf numFmtId="0" fontId="7" fillId="0" borderId="0" xfId="0" applyFont="1"/>
    <xf numFmtId="0" fontId="5" fillId="0" borderId="0" xfId="0" applyFont="1" applyAlignment="1">
      <alignment wrapText="1"/>
    </xf>
    <xf numFmtId="0" fontId="5" fillId="0" borderId="0" xfId="0" applyFont="1" applyBorder="1" applyAlignment="1">
      <alignment wrapText="1"/>
    </xf>
    <xf numFmtId="0" fontId="0" fillId="0" borderId="1" xfId="0" applyBorder="1"/>
    <xf numFmtId="0" fontId="0" fillId="0" borderId="1" xfId="0" applyBorder="1" applyAlignment="1">
      <alignment wrapText="1"/>
    </xf>
    <xf numFmtId="0" fontId="0" fillId="0" borderId="0" xfId="0" applyBorder="1"/>
    <xf numFmtId="14" fontId="0" fillId="0" borderId="0" xfId="0" applyNumberFormat="1"/>
    <xf numFmtId="17" fontId="0" fillId="0" borderId="0" xfId="0" applyNumberForma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38100</xdr:colOff>
          <xdr:row>2</xdr:row>
          <xdr:rowOff>657225</xdr:rowOff>
        </xdr:from>
        <xdr:to>
          <xdr:col>22</xdr:col>
          <xdr:colOff>304800</xdr:colOff>
          <xdr:row>2</xdr:row>
          <xdr:rowOff>1114425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Обновить всё</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15\MghfKq3MV46stzaqNgcTu9-f3rQrRUjot7NyTvGPRU-fXea07PjrHLuRkmeK0VnlMX2Q2Lne.jpg" TargetMode="External"/><Relationship Id="rId21" Type="http://schemas.openxmlformats.org/officeDocument/2006/relationships/hyperlink" Target="&#1046;&#1091;&#1082;&#1086;&#1074;&#1089;&#1082;&#1080;&#1081;\Ellipse%20143.png" TargetMode="External"/><Relationship Id="rId42" Type="http://schemas.openxmlformats.org/officeDocument/2006/relationships/hyperlink" Target="&#1046;&#1091;&#1082;&#1086;&#1074;&#1089;&#1082;&#1080;&#1081;\Ellipse%20143.png" TargetMode="External"/><Relationship Id="rId47" Type="http://schemas.openxmlformats.org/officeDocument/2006/relationships/hyperlink" Target="&#1046;&#1091;&#1082;&#1086;&#1074;&#1089;&#1082;&#1080;&#1081;\Ellipse%20143.png" TargetMode="External"/><Relationship Id="rId63" Type="http://schemas.openxmlformats.org/officeDocument/2006/relationships/hyperlink" Target="&#1046;&#1091;&#1082;&#1086;&#1074;&#1089;&#1082;&#1080;&#1081;\Ellipse%20143.png" TargetMode="External"/><Relationship Id="rId68" Type="http://schemas.openxmlformats.org/officeDocument/2006/relationships/hyperlink" Target="23\1557.jpg" TargetMode="External"/><Relationship Id="rId84" Type="http://schemas.openxmlformats.org/officeDocument/2006/relationships/hyperlink" Target="21\i%20(1).jpg" TargetMode="External"/><Relationship Id="rId89" Type="http://schemas.openxmlformats.org/officeDocument/2006/relationships/hyperlink" Target="20\0b9e3a8b33e4b6b62749e19c96b84b6080c956cc.jpg" TargetMode="External"/><Relationship Id="rId112" Type="http://schemas.openxmlformats.org/officeDocument/2006/relationships/hyperlink" Target="16\tyutchev.jpg" TargetMode="External"/><Relationship Id="rId16" Type="http://schemas.openxmlformats.org/officeDocument/2006/relationships/hyperlink" Target="&#1046;&#1091;&#1082;&#1086;&#1074;&#1089;&#1082;&#1080;&#1081;\Ellipse%20143.png" TargetMode="External"/><Relationship Id="rId107" Type="http://schemas.openxmlformats.org/officeDocument/2006/relationships/hyperlink" Target="17\0b716691cf3039ae3d6477c887014635.jpg" TargetMode="External"/><Relationship Id="rId11" Type="http://schemas.openxmlformats.org/officeDocument/2006/relationships/hyperlink" Target="&#1046;&#1091;&#1082;&#1086;&#1074;&#1089;&#1082;&#1080;&#1081;\Ellipse%20143.png" TargetMode="External"/><Relationship Id="rId32" Type="http://schemas.openxmlformats.org/officeDocument/2006/relationships/hyperlink" Target="&#1046;&#1091;&#1082;&#1086;&#1074;&#1089;&#1082;&#1080;&#1081;\Ellipse%20143.png" TargetMode="External"/><Relationship Id="rId37" Type="http://schemas.openxmlformats.org/officeDocument/2006/relationships/hyperlink" Target="&#1046;&#1091;&#1082;&#1086;&#1074;&#1089;&#1082;&#1080;&#1081;\Ellipse%20143.png" TargetMode="External"/><Relationship Id="rId53" Type="http://schemas.openxmlformats.org/officeDocument/2006/relationships/hyperlink" Target="&#1046;&#1091;&#1082;&#1086;&#1074;&#1089;&#1082;&#1080;&#1081;\Ellipse%20143.png" TargetMode="External"/><Relationship Id="rId58" Type="http://schemas.openxmlformats.org/officeDocument/2006/relationships/hyperlink" Target="&#1046;&#1091;&#1082;&#1086;&#1074;&#1089;&#1082;&#1080;&#1081;\Ellipse%20143.png" TargetMode="External"/><Relationship Id="rId74" Type="http://schemas.openxmlformats.org/officeDocument/2006/relationships/hyperlink" Target="23\ks5vPCY601o.jpg" TargetMode="External"/><Relationship Id="rId79" Type="http://schemas.openxmlformats.org/officeDocument/2006/relationships/hyperlink" Target="22\4964cbc6da2e9220c497d15623596c81.jpg" TargetMode="External"/><Relationship Id="rId102" Type="http://schemas.openxmlformats.org/officeDocument/2006/relationships/hyperlink" Target="18\633e63f8ec21b3c611ddf97e-middle.jpg" TargetMode="External"/><Relationship Id="rId123" Type="http://schemas.openxmlformats.org/officeDocument/2006/relationships/hyperlink" Target="14\scale_1200.jpg" TargetMode="External"/><Relationship Id="rId128" Type="http://schemas.openxmlformats.org/officeDocument/2006/relationships/printerSettings" Target="../printerSettings/printerSettings1.bin"/><Relationship Id="rId5" Type="http://schemas.openxmlformats.org/officeDocument/2006/relationships/hyperlink" Target="&#1046;&#1091;&#1082;&#1086;&#1074;&#1089;&#1082;&#1080;&#1081;\Ellipse%20143.png" TargetMode="External"/><Relationship Id="rId90" Type="http://schemas.openxmlformats.org/officeDocument/2006/relationships/hyperlink" Target="20\a0b61843-7c91-5059-959d-7d68e9304dc0.jpg" TargetMode="External"/><Relationship Id="rId95" Type="http://schemas.openxmlformats.org/officeDocument/2006/relationships/hyperlink" Target="19\1920x.jpg" TargetMode="External"/><Relationship Id="rId22" Type="http://schemas.openxmlformats.org/officeDocument/2006/relationships/hyperlink" Target="&#1046;&#1091;&#1082;&#1086;&#1074;&#1089;&#1082;&#1080;&#1081;\Ellipse%20143.png" TargetMode="External"/><Relationship Id="rId27" Type="http://schemas.openxmlformats.org/officeDocument/2006/relationships/hyperlink" Target="&#1046;&#1091;&#1082;&#1086;&#1074;&#1089;&#1082;&#1080;&#1081;\Ellipse%20143.png" TargetMode="External"/><Relationship Id="rId43" Type="http://schemas.openxmlformats.org/officeDocument/2006/relationships/hyperlink" Target="&#1046;&#1091;&#1082;&#1086;&#1074;&#1089;&#1082;&#1080;&#1081;\Ellipse%20143.png" TargetMode="External"/><Relationship Id="rId48" Type="http://schemas.openxmlformats.org/officeDocument/2006/relationships/hyperlink" Target="&#1046;&#1091;&#1082;&#1086;&#1074;&#1089;&#1082;&#1080;&#1081;\Ellipse%20143.png" TargetMode="External"/><Relationship Id="rId64" Type="http://schemas.openxmlformats.org/officeDocument/2006/relationships/hyperlink" Target="&#1046;&#1091;&#1082;&#1086;&#1074;&#1089;&#1082;&#1080;&#1081;\Ellipse%20143.png" TargetMode="External"/><Relationship Id="rId69" Type="http://schemas.openxmlformats.org/officeDocument/2006/relationships/hyperlink" Target="23\TD7MDyt--t8.jpg" TargetMode="External"/><Relationship Id="rId113" Type="http://schemas.openxmlformats.org/officeDocument/2006/relationships/hyperlink" Target="16\77c43a52-9f80-5c04-8201-5d1e1facf9a5.jpg" TargetMode="External"/><Relationship Id="rId118" Type="http://schemas.openxmlformats.org/officeDocument/2006/relationships/hyperlink" Target="15\JqvvkQrD9cJQqIOSyKnUnRVQVSRd4RKX5X3nEkOYW5XeGDURsJvNoTyTv_wGhadEqc2FCtxRQLLlWO1mdUZTfnvU.jpg" TargetMode="External"/><Relationship Id="rId80" Type="http://schemas.openxmlformats.org/officeDocument/2006/relationships/hyperlink" Target="22\phpQe1rnH_d.n._mamin-sibiryak_literaturnaya_beseda_html_5421fe99e206155b.jpg" TargetMode="External"/><Relationship Id="rId85" Type="http://schemas.openxmlformats.org/officeDocument/2006/relationships/hyperlink" Target="21\i.jpg" TargetMode="External"/><Relationship Id="rId12" Type="http://schemas.openxmlformats.org/officeDocument/2006/relationships/hyperlink" Target="&#1046;&#1091;&#1082;&#1086;&#1074;&#1089;&#1082;&#1080;&#1081;\Ellipse%20143.png" TargetMode="External"/><Relationship Id="rId17" Type="http://schemas.openxmlformats.org/officeDocument/2006/relationships/hyperlink" Target="&#1046;&#1091;&#1082;&#1086;&#1074;&#1089;&#1082;&#1080;&#1081;\Ellipse%20143.png" TargetMode="External"/><Relationship Id="rId33" Type="http://schemas.openxmlformats.org/officeDocument/2006/relationships/hyperlink" Target="&#1046;&#1091;&#1082;&#1086;&#1074;&#1089;&#1082;&#1080;&#1081;\Ellipse%20143.png" TargetMode="External"/><Relationship Id="rId38" Type="http://schemas.openxmlformats.org/officeDocument/2006/relationships/hyperlink" Target="&#1046;&#1091;&#1082;&#1086;&#1074;&#1089;&#1082;&#1080;&#1081;\Ellipse%20143.png" TargetMode="External"/><Relationship Id="rId59" Type="http://schemas.openxmlformats.org/officeDocument/2006/relationships/hyperlink" Target="&#1046;&#1091;&#1082;&#1086;&#1074;&#1089;&#1082;&#1080;&#1081;\Ellipse%20143.png" TargetMode="External"/><Relationship Id="rId103" Type="http://schemas.openxmlformats.org/officeDocument/2006/relationships/hyperlink" Target="18\960px-Nekrasov.jpg" TargetMode="External"/><Relationship Id="rId108" Type="http://schemas.openxmlformats.org/officeDocument/2006/relationships/hyperlink" Target="17\01d0f1950ebf59429e25a97bfa2923bf.jpg" TargetMode="External"/><Relationship Id="rId124" Type="http://schemas.openxmlformats.org/officeDocument/2006/relationships/hyperlink" Target="14\12_12_2022_1.jpeg" TargetMode="External"/><Relationship Id="rId129" Type="http://schemas.openxmlformats.org/officeDocument/2006/relationships/drawing" Target="../drawings/drawing1.xml"/><Relationship Id="rId54" Type="http://schemas.openxmlformats.org/officeDocument/2006/relationships/hyperlink" Target="&#1046;&#1091;&#1082;&#1086;&#1074;&#1089;&#1082;&#1080;&#1081;\Ellipse%20143.png" TargetMode="External"/><Relationship Id="rId70" Type="http://schemas.openxmlformats.org/officeDocument/2006/relationships/hyperlink" Target="23\czgakffdspb_fotodokumentop.1gr-10.ed.hr.10974_0001.jpeg" TargetMode="External"/><Relationship Id="rId75" Type="http://schemas.openxmlformats.org/officeDocument/2006/relationships/hyperlink" Target="22\_69.jpg" TargetMode="External"/><Relationship Id="rId91" Type="http://schemas.openxmlformats.org/officeDocument/2006/relationships/hyperlink" Target="20\Mandelshtam17.jpg" TargetMode="External"/><Relationship Id="rId96" Type="http://schemas.openxmlformats.org/officeDocument/2006/relationships/hyperlink" Target="19\leskov-1.jpg" TargetMode="External"/><Relationship Id="rId1" Type="http://schemas.openxmlformats.org/officeDocument/2006/relationships/hyperlink" Target="&#1046;&#1091;&#1082;&#1086;&#1074;&#1089;&#1082;&#1080;&#1081;\Ellipse%20143.png" TargetMode="External"/><Relationship Id="rId6" Type="http://schemas.openxmlformats.org/officeDocument/2006/relationships/hyperlink" Target="&#1046;&#1091;&#1082;&#1086;&#1074;&#1089;&#1082;&#1080;&#1081;\Ellipse%20143.png" TargetMode="External"/><Relationship Id="rId23" Type="http://schemas.openxmlformats.org/officeDocument/2006/relationships/hyperlink" Target="&#1046;&#1091;&#1082;&#1086;&#1074;&#1089;&#1082;&#1080;&#1081;\Ellipse%20143.png" TargetMode="External"/><Relationship Id="rId28" Type="http://schemas.openxmlformats.org/officeDocument/2006/relationships/hyperlink" Target="&#1046;&#1091;&#1082;&#1086;&#1074;&#1089;&#1082;&#1080;&#1081;\Ellipse%20143.png" TargetMode="External"/><Relationship Id="rId49" Type="http://schemas.openxmlformats.org/officeDocument/2006/relationships/hyperlink" Target="&#1046;&#1091;&#1082;&#1086;&#1074;&#1089;&#1082;&#1080;&#1081;\Ellipse%20143.png" TargetMode="External"/><Relationship Id="rId114" Type="http://schemas.openxmlformats.org/officeDocument/2006/relationships/hyperlink" Target="16\780399d6-3f1f-574e-bc5c-20c10db7fa01.jpg" TargetMode="External"/><Relationship Id="rId119" Type="http://schemas.openxmlformats.org/officeDocument/2006/relationships/hyperlink" Target="15\8cd209eb73c664fdeb854768c5baccde.jpg" TargetMode="External"/><Relationship Id="rId44" Type="http://schemas.openxmlformats.org/officeDocument/2006/relationships/hyperlink" Target="&#1046;&#1091;&#1082;&#1086;&#1074;&#1089;&#1082;&#1080;&#1081;\Ellipse%20143.png" TargetMode="External"/><Relationship Id="rId60" Type="http://schemas.openxmlformats.org/officeDocument/2006/relationships/hyperlink" Target="&#1046;&#1091;&#1082;&#1086;&#1074;&#1089;&#1082;&#1080;&#1081;\Ellipse%20143.png" TargetMode="External"/><Relationship Id="rId65" Type="http://schemas.openxmlformats.org/officeDocument/2006/relationships/hyperlink" Target="&#1046;&#1091;&#1082;&#1086;&#1074;&#1089;&#1082;&#1080;&#1081;\Ellipse%20143.png" TargetMode="External"/><Relationship Id="rId81" Type="http://schemas.openxmlformats.org/officeDocument/2006/relationships/hyperlink" Target="21\cf9ca5ee5f0bcccb5f0e96c14707a1d9.jpg" TargetMode="External"/><Relationship Id="rId86" Type="http://schemas.openxmlformats.org/officeDocument/2006/relationships/hyperlink" Target="21\Vladimir_Mayakovsky_1920-e1510019482714.jpg" TargetMode="External"/><Relationship Id="rId130" Type="http://schemas.openxmlformats.org/officeDocument/2006/relationships/vmlDrawing" Target="../drawings/vmlDrawing1.vml"/><Relationship Id="rId13" Type="http://schemas.openxmlformats.org/officeDocument/2006/relationships/hyperlink" Target="&#1046;&#1091;&#1082;&#1086;&#1074;&#1089;&#1082;&#1080;&#1081;\Ellipse%20143.png" TargetMode="External"/><Relationship Id="rId18" Type="http://schemas.openxmlformats.org/officeDocument/2006/relationships/hyperlink" Target="&#1046;&#1091;&#1082;&#1086;&#1074;&#1089;&#1082;&#1080;&#1081;\Ellipse%20143.png" TargetMode="External"/><Relationship Id="rId39" Type="http://schemas.openxmlformats.org/officeDocument/2006/relationships/hyperlink" Target="&#1046;&#1091;&#1082;&#1086;&#1074;&#1089;&#1082;&#1080;&#1081;\Ellipse%20143.png" TargetMode="External"/><Relationship Id="rId109" Type="http://schemas.openxmlformats.org/officeDocument/2006/relationships/hyperlink" Target="17\dd4f891bb310829d44ec7e1e11352f5e.jpg" TargetMode="External"/><Relationship Id="rId34" Type="http://schemas.openxmlformats.org/officeDocument/2006/relationships/hyperlink" Target="&#1046;&#1091;&#1082;&#1086;&#1074;&#1089;&#1082;&#1080;&#1081;\Ellipse%20143.png" TargetMode="External"/><Relationship Id="rId50" Type="http://schemas.openxmlformats.org/officeDocument/2006/relationships/hyperlink" Target="&#1046;&#1091;&#1082;&#1086;&#1074;&#1089;&#1082;&#1080;&#1081;\Ellipse%20143.png" TargetMode="External"/><Relationship Id="rId55" Type="http://schemas.openxmlformats.org/officeDocument/2006/relationships/hyperlink" Target="&#1046;&#1091;&#1082;&#1086;&#1074;&#1089;&#1082;&#1080;&#1081;\Ellipse%20143.png" TargetMode="External"/><Relationship Id="rId76" Type="http://schemas.openxmlformats.org/officeDocument/2006/relationships/hyperlink" Target="22\mamin-sibiryak-15.jpg" TargetMode="External"/><Relationship Id="rId97" Type="http://schemas.openxmlformats.org/officeDocument/2006/relationships/hyperlink" Target="19\scale_1200.jpg" TargetMode="External"/><Relationship Id="rId104" Type="http://schemas.openxmlformats.org/officeDocument/2006/relationships/hyperlink" Target="18\Nikolaj_Nekrasov.jpg" TargetMode="External"/><Relationship Id="rId120" Type="http://schemas.openxmlformats.org/officeDocument/2006/relationships/hyperlink" Target="15\51b4140259f1b7c6c07f593f0bb0ff63.jpg" TargetMode="External"/><Relationship Id="rId125" Type="http://schemas.openxmlformats.org/officeDocument/2006/relationships/hyperlink" Target="14\1200px-Nikolas_Mikhailowitch_Karamzine.jpg" TargetMode="External"/><Relationship Id="rId7" Type="http://schemas.openxmlformats.org/officeDocument/2006/relationships/hyperlink" Target="&#1046;&#1091;&#1082;&#1086;&#1074;&#1089;&#1082;&#1080;&#1081;\Ellipse%20143.png" TargetMode="External"/><Relationship Id="rId71" Type="http://schemas.openxmlformats.org/officeDocument/2006/relationships/hyperlink" Target="23\czgakffdspb_fotodokumentop.1gr-10.ed.hr.10974_0001.jpeg" TargetMode="External"/><Relationship Id="rId92" Type="http://schemas.openxmlformats.org/officeDocument/2006/relationships/hyperlink" Target="20\ecee626baf0da9a4e35a646fddbc6d4c.png" TargetMode="External"/><Relationship Id="rId2" Type="http://schemas.openxmlformats.org/officeDocument/2006/relationships/hyperlink" Target="&#1046;&#1091;&#1082;&#1086;&#1074;&#1089;&#1082;&#1080;&#1081;\Ellipse%20143.png" TargetMode="External"/><Relationship Id="rId29" Type="http://schemas.openxmlformats.org/officeDocument/2006/relationships/hyperlink" Target="&#1046;&#1091;&#1082;&#1086;&#1074;&#1089;&#1082;&#1080;&#1081;\Ellipse%20143.png" TargetMode="External"/><Relationship Id="rId24" Type="http://schemas.openxmlformats.org/officeDocument/2006/relationships/hyperlink" Target="&#1046;&#1091;&#1082;&#1086;&#1074;&#1089;&#1082;&#1080;&#1081;\Ellipse%20143.png" TargetMode="External"/><Relationship Id="rId40" Type="http://schemas.openxmlformats.org/officeDocument/2006/relationships/hyperlink" Target="&#1046;&#1091;&#1082;&#1086;&#1074;&#1089;&#1082;&#1080;&#1081;\Ellipse%20143.png" TargetMode="External"/><Relationship Id="rId45" Type="http://schemas.openxmlformats.org/officeDocument/2006/relationships/hyperlink" Target="&#1046;&#1091;&#1082;&#1086;&#1074;&#1089;&#1082;&#1080;&#1081;\Ellipse%20143.png" TargetMode="External"/><Relationship Id="rId66" Type="http://schemas.openxmlformats.org/officeDocument/2006/relationships/hyperlink" Target="&#1046;&#1091;&#1082;&#1086;&#1074;&#1089;&#1082;&#1080;&#1081;\Ellipse%20143.png" TargetMode="External"/><Relationship Id="rId87" Type="http://schemas.openxmlformats.org/officeDocument/2006/relationships/hyperlink" Target="&#1046;&#1091;&#1082;&#1086;&#1074;&#1089;&#1082;&#1080;&#1081;\Ellipse%20143.png" TargetMode="External"/><Relationship Id="rId110" Type="http://schemas.openxmlformats.org/officeDocument/2006/relationships/hyperlink" Target="17\Turgenev_by_Repin_1879.jpg" TargetMode="External"/><Relationship Id="rId115" Type="http://schemas.openxmlformats.org/officeDocument/2006/relationships/hyperlink" Target="16\i.jpg" TargetMode="External"/><Relationship Id="rId131" Type="http://schemas.openxmlformats.org/officeDocument/2006/relationships/ctrlProp" Target="../ctrlProps/ctrlProp1.xml"/><Relationship Id="rId61" Type="http://schemas.openxmlformats.org/officeDocument/2006/relationships/hyperlink" Target="&#1046;&#1091;&#1082;&#1086;&#1074;&#1089;&#1082;&#1080;&#1081;\Ellipse%20143.png" TargetMode="External"/><Relationship Id="rId82" Type="http://schemas.openxmlformats.org/officeDocument/2006/relationships/hyperlink" Target="21\O_2W2xeeA6Q.jpg" TargetMode="External"/><Relationship Id="rId19" Type="http://schemas.openxmlformats.org/officeDocument/2006/relationships/hyperlink" Target="&#1046;&#1091;&#1082;&#1086;&#1074;&#1089;&#1082;&#1080;&#1081;\Ellipse%20143.png" TargetMode="External"/><Relationship Id="rId14" Type="http://schemas.openxmlformats.org/officeDocument/2006/relationships/hyperlink" Target="&#1046;&#1091;&#1082;&#1086;&#1074;&#1089;&#1082;&#1080;&#1081;\Ellipse%20143.png" TargetMode="External"/><Relationship Id="rId30" Type="http://schemas.openxmlformats.org/officeDocument/2006/relationships/hyperlink" Target="&#1046;&#1091;&#1082;&#1086;&#1074;&#1089;&#1082;&#1080;&#1081;\Ellipse%20143.png" TargetMode="External"/><Relationship Id="rId35" Type="http://schemas.openxmlformats.org/officeDocument/2006/relationships/hyperlink" Target="&#1046;&#1091;&#1082;&#1086;&#1074;&#1089;&#1082;&#1080;&#1081;\Ellipse%20143.png" TargetMode="External"/><Relationship Id="rId56" Type="http://schemas.openxmlformats.org/officeDocument/2006/relationships/hyperlink" Target="&#1046;&#1091;&#1082;&#1086;&#1074;&#1089;&#1082;&#1080;&#1081;\Ellipse%20143.png" TargetMode="External"/><Relationship Id="rId77" Type="http://schemas.openxmlformats.org/officeDocument/2006/relationships/hyperlink" Target="22\309.jpg" TargetMode="External"/><Relationship Id="rId100" Type="http://schemas.openxmlformats.org/officeDocument/2006/relationships/hyperlink" Target="18\Nikolay_Nekrasov_2cr.jpg" TargetMode="External"/><Relationship Id="rId105" Type="http://schemas.openxmlformats.org/officeDocument/2006/relationships/hyperlink" Target="17\portret.jpg" TargetMode="External"/><Relationship Id="rId126" Type="http://schemas.openxmlformats.org/officeDocument/2006/relationships/hyperlink" Target="14\QUijl_uy3TQ.jpg" TargetMode="External"/><Relationship Id="rId8" Type="http://schemas.openxmlformats.org/officeDocument/2006/relationships/hyperlink" Target="&#1046;&#1091;&#1082;&#1086;&#1074;&#1089;&#1082;&#1080;&#1081;\Ellipse%20143.png" TargetMode="External"/><Relationship Id="rId51" Type="http://schemas.openxmlformats.org/officeDocument/2006/relationships/hyperlink" Target="&#1046;&#1091;&#1082;&#1086;&#1074;&#1089;&#1082;&#1080;&#1081;\Ellipse%20143.png" TargetMode="External"/><Relationship Id="rId72" Type="http://schemas.openxmlformats.org/officeDocument/2006/relationships/hyperlink" Target="23\scale_1200.png" TargetMode="External"/><Relationship Id="rId93" Type="http://schemas.openxmlformats.org/officeDocument/2006/relationships/hyperlink" Target="19\0c8c7308228ebac0.jpeg" TargetMode="External"/><Relationship Id="rId98" Type="http://schemas.openxmlformats.org/officeDocument/2006/relationships/hyperlink" Target="19\scale_1200%20(1).jpg" TargetMode="External"/><Relationship Id="rId121" Type="http://schemas.openxmlformats.org/officeDocument/2006/relationships/hyperlink" Target="15\WTTsLhf0jGLXcH8-H6FpDUvq2lSr1YZTQ5kImXJkk40U-PpEEns17R7-C8fCJJgbEN-ERL3NwX2ReM_jhAtwrCIA.jpg" TargetMode="External"/><Relationship Id="rId3" Type="http://schemas.openxmlformats.org/officeDocument/2006/relationships/hyperlink" Target="&#1046;&#1091;&#1082;&#1086;&#1074;&#1089;&#1082;&#1080;&#1081;\Ellipse%20143.png" TargetMode="External"/><Relationship Id="rId25" Type="http://schemas.openxmlformats.org/officeDocument/2006/relationships/hyperlink" Target="&#1046;&#1091;&#1082;&#1086;&#1074;&#1089;&#1082;&#1080;&#1081;\Ellipse%20143.png" TargetMode="External"/><Relationship Id="rId46" Type="http://schemas.openxmlformats.org/officeDocument/2006/relationships/hyperlink" Target="&#1046;&#1091;&#1082;&#1086;&#1074;&#1089;&#1082;&#1080;&#1081;\Ellipse%20143.png" TargetMode="External"/><Relationship Id="rId67" Type="http://schemas.openxmlformats.org/officeDocument/2006/relationships/hyperlink" Target="&#1046;&#1091;&#1082;&#1086;&#1074;&#1089;&#1082;&#1080;&#1081;\Ellipse%20143.png" TargetMode="External"/><Relationship Id="rId116" Type="http://schemas.openxmlformats.org/officeDocument/2006/relationships/hyperlink" Target="16\scale_1200.png" TargetMode="External"/><Relationship Id="rId20" Type="http://schemas.openxmlformats.org/officeDocument/2006/relationships/hyperlink" Target="&#1046;&#1091;&#1082;&#1086;&#1074;&#1089;&#1082;&#1080;&#1081;\Ellipse%20143.png" TargetMode="External"/><Relationship Id="rId41" Type="http://schemas.openxmlformats.org/officeDocument/2006/relationships/hyperlink" Target="&#1046;&#1091;&#1082;&#1086;&#1074;&#1089;&#1082;&#1080;&#1081;\Ellipse%20143.png" TargetMode="External"/><Relationship Id="rId62" Type="http://schemas.openxmlformats.org/officeDocument/2006/relationships/hyperlink" Target="&#1046;&#1091;&#1082;&#1086;&#1074;&#1089;&#1082;&#1080;&#1081;\Ellipse%20143.png" TargetMode="External"/><Relationship Id="rId83" Type="http://schemas.openxmlformats.org/officeDocument/2006/relationships/hyperlink" Target="21\f7pklr2bcy0othzeyah0x10pi6vrzaqh-1.jpg" TargetMode="External"/><Relationship Id="rId88" Type="http://schemas.openxmlformats.org/officeDocument/2006/relationships/hyperlink" Target="20\i%20(1).jpg" TargetMode="External"/><Relationship Id="rId111" Type="http://schemas.openxmlformats.org/officeDocument/2006/relationships/hyperlink" Target="16\9b5993ea4bddf8a5ca465906270ca1c5.jpg" TargetMode="External"/><Relationship Id="rId15" Type="http://schemas.openxmlformats.org/officeDocument/2006/relationships/hyperlink" Target="&#1046;&#1091;&#1082;&#1086;&#1074;&#1089;&#1082;&#1080;&#1081;\Ellipse%20143.png" TargetMode="External"/><Relationship Id="rId36" Type="http://schemas.openxmlformats.org/officeDocument/2006/relationships/hyperlink" Target="&#1046;&#1091;&#1082;&#1086;&#1074;&#1089;&#1082;&#1080;&#1081;\Ellipse%20143.png" TargetMode="External"/><Relationship Id="rId57" Type="http://schemas.openxmlformats.org/officeDocument/2006/relationships/hyperlink" Target="&#1046;&#1091;&#1082;&#1086;&#1074;&#1089;&#1082;&#1080;&#1081;\Ellipse%20143.png" TargetMode="External"/><Relationship Id="rId106" Type="http://schemas.openxmlformats.org/officeDocument/2006/relationships/hyperlink" Target="17\960px-Turgenev_by_Repin.jpg" TargetMode="External"/><Relationship Id="rId127" Type="http://schemas.openxmlformats.org/officeDocument/2006/relationships/hyperlink" Target="14\927315841_0_0_1975_3000_768x0_80_0_0_1bd9c2eee889ee635eef4447f306fd57.jpg" TargetMode="External"/><Relationship Id="rId10" Type="http://schemas.openxmlformats.org/officeDocument/2006/relationships/hyperlink" Target="&#1046;&#1091;&#1082;&#1086;&#1074;&#1089;&#1082;&#1080;&#1081;\Ellipse%20143.png" TargetMode="External"/><Relationship Id="rId31" Type="http://schemas.openxmlformats.org/officeDocument/2006/relationships/hyperlink" Target="&#1046;&#1091;&#1082;&#1086;&#1074;&#1089;&#1082;&#1080;&#1081;\Ellipse%20143.png" TargetMode="External"/><Relationship Id="rId52" Type="http://schemas.openxmlformats.org/officeDocument/2006/relationships/hyperlink" Target="&#1046;&#1091;&#1082;&#1086;&#1074;&#1089;&#1082;&#1080;&#1081;\Ellipse%20143.png" TargetMode="External"/><Relationship Id="rId73" Type="http://schemas.openxmlformats.org/officeDocument/2006/relationships/hyperlink" Target="23\zo1000.jpg" TargetMode="External"/><Relationship Id="rId78" Type="http://schemas.openxmlformats.org/officeDocument/2006/relationships/hyperlink" Target="22\1829042906_0_524_2047_1675_1920x0_80_0_0_e98ab66c083331ff6697bf6739dcdc17.jpg" TargetMode="External"/><Relationship Id="rId94" Type="http://schemas.openxmlformats.org/officeDocument/2006/relationships/hyperlink" Target="19\maxresdefault.jpg" TargetMode="External"/><Relationship Id="rId99" Type="http://schemas.openxmlformats.org/officeDocument/2006/relationships/hyperlink" Target="18\633e63f8ec21b3c611ddf97e-middle.jpg" TargetMode="External"/><Relationship Id="rId101" Type="http://schemas.openxmlformats.org/officeDocument/2006/relationships/hyperlink" Target="18\31df9c35-7f09-5424-ad00-08758022bed4.jpg" TargetMode="External"/><Relationship Id="rId122" Type="http://schemas.openxmlformats.org/officeDocument/2006/relationships/hyperlink" Target="14\e9401f03dcff4202941f59a4e545c14d.jpg" TargetMode="External"/><Relationship Id="rId4" Type="http://schemas.openxmlformats.org/officeDocument/2006/relationships/hyperlink" Target="&#1046;&#1091;&#1082;&#1086;&#1074;&#1089;&#1082;&#1080;&#1081;\Ellipse%20143.png" TargetMode="External"/><Relationship Id="rId9" Type="http://schemas.openxmlformats.org/officeDocument/2006/relationships/hyperlink" Target="&#1046;&#1091;&#1082;&#1086;&#1074;&#1089;&#1082;&#1080;&#1081;\Ellipse%20143.png" TargetMode="External"/><Relationship Id="rId26" Type="http://schemas.openxmlformats.org/officeDocument/2006/relationships/hyperlink" Target="&#1046;&#1091;&#1082;&#1086;&#1074;&#1089;&#1082;&#1080;&#1081;\Ellipse%20143.png"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1055;&#1088;&#1077;&#1079;&#1077;&#1085;&#1090;&#1072;&#1094;&#1080;&#1080;\1200_6594510f82682c3ca3691214.jpg" TargetMode="External"/><Relationship Id="rId3" Type="http://schemas.openxmlformats.org/officeDocument/2006/relationships/hyperlink" Target="&#1055;&#1088;&#1077;&#1079;&#1077;&#1085;&#1090;&#1072;&#1094;&#1080;&#1080;\3.png" TargetMode="External"/><Relationship Id="rId7" Type="http://schemas.openxmlformats.org/officeDocument/2006/relationships/hyperlink" Target="&#1055;&#1088;&#1077;&#1079;&#1077;&#1085;&#1090;&#1072;&#1094;&#1080;&#1080;\12445175.jpeg" TargetMode="External"/><Relationship Id="rId2" Type="http://schemas.openxmlformats.org/officeDocument/2006/relationships/hyperlink" Target="&#1055;&#1088;&#1077;&#1079;&#1077;&#1085;&#1090;&#1072;&#1094;&#1080;&#1080;\2.png" TargetMode="External"/><Relationship Id="rId1" Type="http://schemas.openxmlformats.org/officeDocument/2006/relationships/hyperlink" Target="&#1055;&#1088;&#1077;&#1079;&#1077;&#1085;&#1090;&#1072;&#1094;&#1080;&#1080;\Ellipse%20143.png" TargetMode="External"/><Relationship Id="rId6" Type="http://schemas.openxmlformats.org/officeDocument/2006/relationships/hyperlink" Target="&#1055;&#1088;&#1077;&#1079;&#1077;&#1085;&#1090;&#1072;&#1094;&#1080;&#1080;\RIAN_archive_907_Leningradians_queueing_up_for_water.jpg" TargetMode="External"/><Relationship Id="rId11" Type="http://schemas.openxmlformats.org/officeDocument/2006/relationships/hyperlink" Target="&#1055;&#1088;&#1077;&#1079;&#1077;&#1085;&#1090;&#1072;&#1094;&#1080;&#1080;\1920x1281_0xeq5xGBHi_1378709004847686791.jpg" TargetMode="External"/><Relationship Id="rId5" Type="http://schemas.openxmlformats.org/officeDocument/2006/relationships/hyperlink" Target="&#1055;&#1088;&#1077;&#1079;&#1077;&#1085;&#1090;&#1072;&#1094;&#1080;&#1080;\Ellipse%20143-2.png" TargetMode="External"/><Relationship Id="rId10" Type="http://schemas.openxmlformats.org/officeDocument/2006/relationships/hyperlink" Target="&#1055;&#1088;&#1077;&#1079;&#1077;&#1085;&#1090;&#1072;&#1094;&#1080;&#1080;\Zs3bxT_cz0k.jpg" TargetMode="External"/><Relationship Id="rId4" Type="http://schemas.openxmlformats.org/officeDocument/2006/relationships/hyperlink" Target="&#1055;&#1088;&#1077;&#1079;&#1077;&#1085;&#1090;&#1072;&#1094;&#1080;&#1080;\Ellipse%20143-1.png" TargetMode="External"/><Relationship Id="rId9" Type="http://schemas.openxmlformats.org/officeDocument/2006/relationships/hyperlink" Target="&#1055;&#1088;&#1077;&#1079;&#1077;&#1085;&#1090;&#1072;&#1094;&#1080;&#1080;\1848741986_0_309_3091_2048_1920x1080_80_0_0_923f4134c5fd05243b2325e9272234ca.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S34"/>
  <sheetViews>
    <sheetView tabSelected="1" zoomScale="70" zoomScaleNormal="70" workbookViewId="0">
      <selection activeCell="B6" sqref="B6"/>
    </sheetView>
  </sheetViews>
  <sheetFormatPr defaultRowHeight="15" x14ac:dyDescent="0.25"/>
  <cols>
    <col min="1" max="1" width="17.140625" customWidth="1"/>
    <col min="2" max="2" width="22.85546875" style="1" customWidth="1"/>
    <col min="3" max="3" width="27.5703125" customWidth="1"/>
    <col min="4" max="4" width="43.7109375" style="1" customWidth="1"/>
    <col min="5" max="5" width="60" style="1" customWidth="1"/>
    <col min="6" max="6" width="48.140625" customWidth="1"/>
    <col min="7" max="8" width="42.42578125" customWidth="1"/>
    <col min="9" max="9" width="23.42578125" customWidth="1"/>
    <col min="10" max="10" width="22" customWidth="1"/>
    <col min="11" max="11" width="22.42578125" customWidth="1"/>
    <col min="12" max="12" width="22.7109375" customWidth="1"/>
    <col min="13" max="13" width="16.7109375" customWidth="1"/>
    <col min="14" max="14" width="25.42578125" customWidth="1"/>
    <col min="15" max="15" width="25" customWidth="1"/>
    <col min="16" max="16" width="26.42578125" customWidth="1"/>
    <col min="17" max="17" width="31.7109375" customWidth="1"/>
    <col min="18" max="18" width="31" customWidth="1"/>
    <col min="19" max="19" width="20.5703125" customWidth="1"/>
  </cols>
  <sheetData>
    <row r="1" spans="1:19" ht="17.25" customHeight="1" x14ac:dyDescent="0.25">
      <c r="A1" t="s">
        <v>0</v>
      </c>
      <c r="B1" s="1" t="s">
        <v>4</v>
      </c>
      <c r="C1" t="s">
        <v>5</v>
      </c>
      <c r="D1" s="1" t="s">
        <v>6</v>
      </c>
      <c r="E1" s="1" t="s">
        <v>7</v>
      </c>
      <c r="F1" t="s">
        <v>8</v>
      </c>
      <c r="G1" t="s">
        <v>3</v>
      </c>
      <c r="H1" t="s">
        <v>9</v>
      </c>
      <c r="I1" t="s">
        <v>10</v>
      </c>
      <c r="J1" s="13" t="s">
        <v>12</v>
      </c>
      <c r="K1" s="13" t="s">
        <v>13</v>
      </c>
      <c r="L1" t="s">
        <v>11</v>
      </c>
      <c r="M1" t="s">
        <v>14</v>
      </c>
      <c r="N1" t="s">
        <v>15</v>
      </c>
      <c r="O1" t="s">
        <v>16</v>
      </c>
      <c r="P1" t="s">
        <v>17</v>
      </c>
      <c r="Q1" t="s">
        <v>18</v>
      </c>
      <c r="R1" t="s">
        <v>19</v>
      </c>
      <c r="S1" t="s">
        <v>20</v>
      </c>
    </row>
    <row r="2" spans="1:19" ht="109.5" customHeight="1" thickBot="1" x14ac:dyDescent="0.3">
      <c r="A2">
        <v>9</v>
      </c>
      <c r="B2" s="1" t="s">
        <v>114</v>
      </c>
      <c r="C2" t="s">
        <v>22</v>
      </c>
      <c r="D2" s="1" t="s">
        <v>211</v>
      </c>
      <c r="E2" s="1" t="s">
        <v>116</v>
      </c>
      <c r="F2" s="2" t="str">
        <f>$A2&amp;"\Ellipse 143.png"</f>
        <v>9\Ellipse 143.png</v>
      </c>
      <c r="H2" s="1" t="s">
        <v>115</v>
      </c>
      <c r="I2" s="10" t="s">
        <v>117</v>
      </c>
      <c r="J2" s="10" t="s">
        <v>119</v>
      </c>
      <c r="K2" s="10" t="s">
        <v>118</v>
      </c>
      <c r="L2" s="1" t="s">
        <v>120</v>
      </c>
      <c r="M2" s="1" t="s">
        <v>121</v>
      </c>
      <c r="N2" s="2" t="str">
        <f>$A2&amp;"\Ellipse 20.png"</f>
        <v>9\Ellipse 20.png</v>
      </c>
      <c r="O2" s="2" t="str">
        <f>$A2&amp;"\Ellipse 21.png"</f>
        <v>9\Ellipse 21.png</v>
      </c>
      <c r="P2" s="2" t="str">
        <f>$A2&amp;"\Rectangle 23.png"</f>
        <v>9\Rectangle 23.png</v>
      </c>
      <c r="Q2" s="2" t="str">
        <f>$A2&amp;"\Rectangle 24.png"</f>
        <v>9\Rectangle 24.png</v>
      </c>
      <c r="R2" s="2" t="str">
        <f>$A2&amp;"\Rectangle 25.png"</f>
        <v>9\Rectangle 25.png</v>
      </c>
      <c r="S2" s="2" t="str">
        <f>$A2&amp;"\Rectangle 26.png"</f>
        <v>9\Rectangle 26.png</v>
      </c>
    </row>
    <row r="3" spans="1:19" ht="149.25" customHeight="1" thickBot="1" x14ac:dyDescent="0.3">
      <c r="A3">
        <v>12</v>
      </c>
      <c r="B3" s="1" t="s">
        <v>141</v>
      </c>
      <c r="C3" t="s">
        <v>142</v>
      </c>
      <c r="D3" s="1" t="s">
        <v>213</v>
      </c>
      <c r="E3" s="1" t="s">
        <v>143</v>
      </c>
      <c r="F3" s="2" t="str">
        <f>$A3&amp;"\Ellipse 143.png"</f>
        <v>12\Ellipse 143.png</v>
      </c>
      <c r="H3" s="1" t="s">
        <v>144</v>
      </c>
      <c r="I3" s="4" t="s">
        <v>145</v>
      </c>
      <c r="J3" s="4" t="s">
        <v>146</v>
      </c>
      <c r="K3" s="4" t="s">
        <v>147</v>
      </c>
      <c r="L3" s="1" t="s">
        <v>148</v>
      </c>
      <c r="M3" s="1" t="s">
        <v>149</v>
      </c>
      <c r="N3" s="2" t="str">
        <f>$A3&amp;"\Ellipse 20.png"</f>
        <v>12\Ellipse 20.png</v>
      </c>
      <c r="O3" s="2" t="str">
        <f>$A3&amp;"\Ellipse 21.png"</f>
        <v>12\Ellipse 21.png</v>
      </c>
      <c r="P3" s="2" t="str">
        <f>$A3&amp;"\Rectangle 23.png"</f>
        <v>12\Rectangle 23.png</v>
      </c>
      <c r="Q3" s="2" t="str">
        <f>$A3&amp;"\Rectangle 24.png"</f>
        <v>12\Rectangle 24.png</v>
      </c>
      <c r="R3" s="2" t="str">
        <f>$A3&amp;"\Rectangle 25.png"</f>
        <v>12\Rectangle 25.png</v>
      </c>
      <c r="S3" s="2" t="str">
        <f>$A3&amp;"\Rectangle 26.png"</f>
        <v>12\Rectangle 26.png</v>
      </c>
    </row>
    <row r="4" spans="1:19" ht="224.25" customHeight="1" thickBot="1" x14ac:dyDescent="0.3">
      <c r="A4">
        <v>10</v>
      </c>
      <c r="B4" s="1" t="s">
        <v>122</v>
      </c>
      <c r="C4" t="s">
        <v>124</v>
      </c>
      <c r="D4" s="1" t="s">
        <v>212</v>
      </c>
      <c r="E4" s="1" t="s">
        <v>125</v>
      </c>
      <c r="F4" s="2" t="str">
        <f>$A4&amp;"\Ellipse 143.png"</f>
        <v>10\Ellipse 143.png</v>
      </c>
      <c r="H4" s="1" t="s">
        <v>126</v>
      </c>
      <c r="I4" s="4" t="s">
        <v>127</v>
      </c>
      <c r="J4" s="4" t="s">
        <v>129</v>
      </c>
      <c r="K4" s="4" t="s">
        <v>128</v>
      </c>
      <c r="L4" s="1" t="s">
        <v>130</v>
      </c>
      <c r="M4" s="1" t="s">
        <v>131</v>
      </c>
      <c r="N4" s="2" t="str">
        <f>$A4&amp;"\Ellipse 20.png"</f>
        <v>10\Ellipse 20.png</v>
      </c>
      <c r="O4" s="2" t="str">
        <f>$A4&amp;"\Ellipse 21.png"</f>
        <v>10\Ellipse 21.png</v>
      </c>
      <c r="P4" s="2" t="str">
        <f>$A4&amp;"\Rectangle 23.png"</f>
        <v>10\Rectangle 23.png</v>
      </c>
      <c r="Q4" s="2" t="str">
        <f>$A4&amp;"\Rectangle 24.png"</f>
        <v>10\Rectangle 24.png</v>
      </c>
      <c r="R4" s="2" t="str">
        <f>$A4&amp;"\Rectangle 25.png"</f>
        <v>10\Rectangle 25.png</v>
      </c>
      <c r="S4" s="2" t="str">
        <f>$A4&amp;"\Rectangle 26.png"</f>
        <v>10\Rectangle 26.png</v>
      </c>
    </row>
    <row r="5" spans="1:19" ht="156" customHeight="1" thickBot="1" x14ac:dyDescent="0.3">
      <c r="A5">
        <v>3</v>
      </c>
      <c r="B5" s="1" t="s">
        <v>624</v>
      </c>
      <c r="C5" t="s">
        <v>62</v>
      </c>
      <c r="D5" s="1" t="s">
        <v>205</v>
      </c>
      <c r="E5" s="1" t="s">
        <v>63</v>
      </c>
      <c r="F5" s="2" t="str">
        <f>$A5&amp;"\Ellipse 143.png"</f>
        <v>3\Ellipse 143.png</v>
      </c>
      <c r="H5" s="1" t="s">
        <v>64</v>
      </c>
      <c r="I5" s="4" t="s">
        <v>65</v>
      </c>
      <c r="J5" s="4" t="s">
        <v>66</v>
      </c>
      <c r="K5" s="4" t="s">
        <v>67</v>
      </c>
      <c r="L5" s="1" t="s">
        <v>68</v>
      </c>
      <c r="M5" s="1" t="s">
        <v>69</v>
      </c>
      <c r="N5" s="2" t="str">
        <f>$A5&amp;"\Ellipse 20.png"</f>
        <v>3\Ellipse 20.png</v>
      </c>
      <c r="O5" s="2" t="str">
        <f>$A5&amp;"\Ellipse 21.png"</f>
        <v>3\Ellipse 21.png</v>
      </c>
      <c r="P5" s="2" t="str">
        <f>$A5&amp;"\Rectangle 23.png"</f>
        <v>3\Rectangle 23.png</v>
      </c>
      <c r="Q5" s="2" t="str">
        <f>$A5&amp;"\Rectangle 24.png"</f>
        <v>3\Rectangle 24.png</v>
      </c>
      <c r="R5" s="2" t="str">
        <f>$A5&amp;"\Rectangle 25.png"</f>
        <v>3\Rectangle 25.png</v>
      </c>
      <c r="S5" s="2" t="str">
        <f>$A5&amp;"\Rectangle 26.png"</f>
        <v>3\Rectangle 26.png</v>
      </c>
    </row>
    <row r="6" spans="1:19" ht="409.6" thickBot="1" x14ac:dyDescent="0.3">
      <c r="A6">
        <v>0</v>
      </c>
      <c r="B6" s="1" t="s">
        <v>21</v>
      </c>
      <c r="C6" t="s">
        <v>22</v>
      </c>
      <c r="D6" s="1" t="s">
        <v>202</v>
      </c>
      <c r="E6" t="s">
        <v>23</v>
      </c>
      <c r="F6" s="2" t="str">
        <f>$A6&amp;"\Ellipse 143.png"</f>
        <v>0\Ellipse 143.png</v>
      </c>
      <c r="H6" s="1" t="s">
        <v>23</v>
      </c>
      <c r="I6" s="11" t="s">
        <v>24</v>
      </c>
      <c r="J6" s="12" t="s">
        <v>25</v>
      </c>
      <c r="K6" s="11" t="s">
        <v>26</v>
      </c>
      <c r="L6" s="1" t="s">
        <v>27</v>
      </c>
      <c r="M6" s="1" t="s">
        <v>28</v>
      </c>
      <c r="N6" s="2" t="str">
        <f>$A6&amp;"\Ellipse 20.png"</f>
        <v>0\Ellipse 20.png</v>
      </c>
      <c r="O6" s="2" t="str">
        <f>$A6&amp;"\Ellipse 21.png"</f>
        <v>0\Ellipse 21.png</v>
      </c>
      <c r="P6" s="2" t="str">
        <f>$A6&amp;"\Rectangle 23.png"</f>
        <v>0\Rectangle 23.png</v>
      </c>
      <c r="Q6" s="2" t="str">
        <f>$A6&amp;"\Rectangle 24.png"</f>
        <v>0\Rectangle 24.png</v>
      </c>
      <c r="R6" s="2" t="str">
        <f>$A6&amp;"\Rectangle 25.png"</f>
        <v>0\Rectangle 25.png</v>
      </c>
      <c r="S6" s="2" t="str">
        <f>$A6&amp;"\Rectangle 26.png"</f>
        <v>0\Rectangle 26.png</v>
      </c>
    </row>
    <row r="7" spans="1:19" ht="405.75" thickBot="1" x14ac:dyDescent="0.3">
      <c r="A7">
        <v>1</v>
      </c>
      <c r="B7" t="s">
        <v>44</v>
      </c>
      <c r="C7" t="s">
        <v>45</v>
      </c>
      <c r="D7" s="1" t="s">
        <v>203</v>
      </c>
      <c r="E7" t="s">
        <v>46</v>
      </c>
      <c r="F7" s="2" t="str">
        <f>$A7&amp;"\Ellipse 143.png"</f>
        <v>1\Ellipse 143.png</v>
      </c>
      <c r="H7" s="1" t="s">
        <v>52</v>
      </c>
      <c r="I7" s="4" t="s">
        <v>47</v>
      </c>
      <c r="J7" s="4" t="s">
        <v>50</v>
      </c>
      <c r="K7" s="4" t="s">
        <v>48</v>
      </c>
      <c r="L7" s="1" t="s">
        <v>51</v>
      </c>
      <c r="M7" s="1" t="s">
        <v>49</v>
      </c>
      <c r="N7" s="2" t="str">
        <f>$A7&amp;"\Ellipse 20.png"</f>
        <v>1\Ellipse 20.png</v>
      </c>
      <c r="O7" s="2" t="str">
        <f>$A7&amp;"\Ellipse 21.png"</f>
        <v>1\Ellipse 21.png</v>
      </c>
      <c r="P7" s="2" t="str">
        <f>$A7&amp;"\Rectangle 23.png"</f>
        <v>1\Rectangle 23.png</v>
      </c>
      <c r="Q7" s="2" t="str">
        <f>$A7&amp;"\Rectangle 24.png"</f>
        <v>1\Rectangle 24.png</v>
      </c>
      <c r="R7" s="2" t="str">
        <f>$A7&amp;"\Rectangle 25.png"</f>
        <v>1\Rectangle 25.png</v>
      </c>
      <c r="S7" s="2" t="str">
        <f>$A7&amp;"\Rectangle 26.png"</f>
        <v>1\Rectangle 26.png</v>
      </c>
    </row>
    <row r="8" spans="1:19" ht="345.75" thickBot="1" x14ac:dyDescent="0.3">
      <c r="A8">
        <v>21</v>
      </c>
      <c r="B8" s="1" t="s">
        <v>236</v>
      </c>
      <c r="C8" t="s">
        <v>237</v>
      </c>
      <c r="D8" s="1" t="s">
        <v>238</v>
      </c>
      <c r="E8" s="1" t="s">
        <v>273</v>
      </c>
      <c r="F8" s="2" t="str">
        <f>$A8&amp;"\Ellipse 143.png"</f>
        <v>21\Ellipse 143.png</v>
      </c>
      <c r="H8" t="s">
        <v>274</v>
      </c>
      <c r="I8" s="10" t="s">
        <v>279</v>
      </c>
      <c r="J8" s="4" t="s">
        <v>278</v>
      </c>
      <c r="K8" s="10" t="s">
        <v>277</v>
      </c>
      <c r="L8" t="s">
        <v>276</v>
      </c>
      <c r="M8" s="1" t="s">
        <v>275</v>
      </c>
      <c r="N8" s="2" t="s">
        <v>327</v>
      </c>
      <c r="O8" s="2" t="s">
        <v>328</v>
      </c>
      <c r="P8" s="2" t="s">
        <v>329</v>
      </c>
      <c r="Q8" s="2" t="s">
        <v>330</v>
      </c>
      <c r="R8" s="2" t="s">
        <v>331</v>
      </c>
      <c r="S8" s="2" t="s">
        <v>332</v>
      </c>
    </row>
    <row r="9" spans="1:19" ht="405.75" thickBot="1" x14ac:dyDescent="0.3">
      <c r="A9">
        <v>5</v>
      </c>
      <c r="B9" s="1" t="s">
        <v>79</v>
      </c>
      <c r="C9" t="s">
        <v>80</v>
      </c>
      <c r="D9" s="1" t="s">
        <v>207</v>
      </c>
      <c r="E9" s="1" t="s">
        <v>81</v>
      </c>
      <c r="F9" s="2" t="str">
        <f>$A9&amp;"\Ellipse 143.png"</f>
        <v>5\Ellipse 143.png</v>
      </c>
      <c r="H9" s="1" t="s">
        <v>82</v>
      </c>
      <c r="I9" s="4" t="s">
        <v>83</v>
      </c>
      <c r="J9" s="4" t="s">
        <v>87</v>
      </c>
      <c r="K9" s="4" t="s">
        <v>84</v>
      </c>
      <c r="L9" s="1" t="s">
        <v>85</v>
      </c>
      <c r="M9" s="1" t="s">
        <v>86</v>
      </c>
      <c r="N9" s="2" t="str">
        <f>$A9&amp;"\Ellipse 20.png"</f>
        <v>5\Ellipse 20.png</v>
      </c>
      <c r="O9" s="2" t="str">
        <f>$A9&amp;"\Ellipse 21.png"</f>
        <v>5\Ellipse 21.png</v>
      </c>
      <c r="P9" s="2" t="str">
        <f>$A9&amp;"\Rectangle 23.png"</f>
        <v>5\Rectangle 23.png</v>
      </c>
      <c r="Q9" s="2" t="str">
        <f>$A9&amp;"\Rectangle 24.png"</f>
        <v>5\Rectangle 24.png</v>
      </c>
      <c r="R9" s="2" t="str">
        <f>$A9&amp;"\Rectangle 25.png"</f>
        <v>5\Rectangle 25.png</v>
      </c>
      <c r="S9" s="2" t="str">
        <f>$A9&amp;"\Rectangle 26.png"</f>
        <v>5\Rectangle 26.png</v>
      </c>
    </row>
    <row r="10" spans="1:19" ht="409.6" thickBot="1" x14ac:dyDescent="0.3">
      <c r="A10">
        <v>2</v>
      </c>
      <c r="B10" t="s">
        <v>58</v>
      </c>
      <c r="C10" t="s">
        <v>53</v>
      </c>
      <c r="D10" s="1" t="s">
        <v>204</v>
      </c>
      <c r="E10" s="1" t="s">
        <v>54</v>
      </c>
      <c r="F10" s="2" t="str">
        <f>$A10&amp;"\Ellipse 143.png"</f>
        <v>2\Ellipse 143.png</v>
      </c>
      <c r="H10" s="1" t="s">
        <v>55</v>
      </c>
      <c r="I10" s="4" t="s">
        <v>61</v>
      </c>
      <c r="J10" s="4" t="s">
        <v>60</v>
      </c>
      <c r="K10" s="10" t="s">
        <v>56</v>
      </c>
      <c r="L10" s="1" t="s">
        <v>59</v>
      </c>
      <c r="M10" s="1" t="s">
        <v>57</v>
      </c>
      <c r="N10" s="2" t="str">
        <f>$A10&amp;"\Ellipse 20.png"</f>
        <v>2\Ellipse 20.png</v>
      </c>
      <c r="O10" s="2" t="str">
        <f>$A10&amp;"\Ellipse 21.png"</f>
        <v>2\Ellipse 21.png</v>
      </c>
      <c r="P10" s="2" t="str">
        <f>$A10&amp;"\Rectangle 23.png"</f>
        <v>2\Rectangle 23.png</v>
      </c>
      <c r="Q10" s="2" t="str">
        <f>$A10&amp;"\Rectangle 24.png"</f>
        <v>2\Rectangle 24.png</v>
      </c>
      <c r="R10" s="2" t="str">
        <f>$A10&amp;"\Rectangle 25.png"</f>
        <v>2\Rectangle 25.png</v>
      </c>
      <c r="S10" s="2" t="str">
        <f>$A10&amp;"\Rectangle 26.png"</f>
        <v>2\Rectangle 26.png</v>
      </c>
    </row>
    <row r="11" spans="1:19" ht="270.75" thickBot="1" x14ac:dyDescent="0.3">
      <c r="A11">
        <v>22</v>
      </c>
      <c r="B11" s="1" t="s">
        <v>239</v>
      </c>
      <c r="C11" t="s">
        <v>240</v>
      </c>
      <c r="D11" s="1" t="s">
        <v>241</v>
      </c>
      <c r="E11" s="1" t="s">
        <v>271</v>
      </c>
      <c r="F11" s="2" t="str">
        <f>$A11&amp;"\Ellipse 143.png"</f>
        <v>22\Ellipse 143.png</v>
      </c>
      <c r="H11" t="s">
        <v>272</v>
      </c>
      <c r="I11" s="11" t="s">
        <v>266</v>
      </c>
      <c r="J11" s="11" t="s">
        <v>267</v>
      </c>
      <c r="K11" s="11" t="s">
        <v>269</v>
      </c>
      <c r="L11" t="s">
        <v>268</v>
      </c>
      <c r="M11" s="1" t="s">
        <v>270</v>
      </c>
      <c r="N11" s="2" t="s">
        <v>321</v>
      </c>
      <c r="O11" s="2" t="s">
        <v>322</v>
      </c>
      <c r="P11" s="2" t="s">
        <v>323</v>
      </c>
      <c r="Q11" s="2" t="s">
        <v>324</v>
      </c>
      <c r="R11" s="2" t="s">
        <v>325</v>
      </c>
      <c r="S11" s="2" t="s">
        <v>326</v>
      </c>
    </row>
    <row r="12" spans="1:19" ht="315.75" thickBot="1" x14ac:dyDescent="0.3">
      <c r="A12">
        <v>7</v>
      </c>
      <c r="B12" s="1" t="s">
        <v>97</v>
      </c>
      <c r="C12" t="s">
        <v>98</v>
      </c>
      <c r="D12" s="1" t="s">
        <v>209</v>
      </c>
      <c r="E12" t="s">
        <v>99</v>
      </c>
      <c r="F12" s="2" t="str">
        <f>$A12&amp;"\Ellipse 143.png"</f>
        <v>7\Ellipse 143.png</v>
      </c>
      <c r="H12" s="1" t="s">
        <v>100</v>
      </c>
      <c r="I12" s="4" t="s">
        <v>101</v>
      </c>
      <c r="J12" s="4" t="s">
        <v>102</v>
      </c>
      <c r="K12" s="4" t="s">
        <v>104</v>
      </c>
      <c r="L12" s="1" t="s">
        <v>103</v>
      </c>
      <c r="M12" s="1" t="s">
        <v>95</v>
      </c>
      <c r="N12" s="2" t="str">
        <f>$A12&amp;"\Ellipse 20.png"</f>
        <v>7\Ellipse 20.png</v>
      </c>
      <c r="O12" s="2" t="str">
        <f>$A12&amp;"\Ellipse 21.png"</f>
        <v>7\Ellipse 21.png</v>
      </c>
      <c r="P12" s="2" t="str">
        <f>$A12&amp;"\Rectangle 23.png"</f>
        <v>7\Rectangle 23.png</v>
      </c>
      <c r="Q12" s="2" t="str">
        <f>$A12&amp;"\Rectangle 24.png"</f>
        <v>7\Rectangle 24.png</v>
      </c>
      <c r="R12" s="2" t="str">
        <f>$A12&amp;"\Rectangle 25.png"</f>
        <v>7\Rectangle 25.png</v>
      </c>
      <c r="S12" s="2" t="str">
        <f>$A12&amp;"\Rectangle 26.png"</f>
        <v>7\Rectangle 26.png</v>
      </c>
    </row>
    <row r="13" spans="1:19" ht="375.75" thickBot="1" x14ac:dyDescent="0.3">
      <c r="A13">
        <v>17</v>
      </c>
      <c r="B13" s="1" t="s">
        <v>224</v>
      </c>
      <c r="C13" t="s">
        <v>225</v>
      </c>
      <c r="D13" s="1" t="s">
        <v>226</v>
      </c>
      <c r="E13" s="1" t="s">
        <v>301</v>
      </c>
      <c r="F13" s="2" t="str">
        <f>$A13&amp;"\Ellipse 143.png"</f>
        <v>17\Ellipse 143.png</v>
      </c>
      <c r="H13" s="1" t="s">
        <v>302</v>
      </c>
      <c r="I13" s="4" t="s">
        <v>307</v>
      </c>
      <c r="J13" s="5" t="s">
        <v>306</v>
      </c>
      <c r="K13" s="4" t="s">
        <v>305</v>
      </c>
      <c r="L13" s="1" t="s">
        <v>304</v>
      </c>
      <c r="M13" s="1" t="s">
        <v>303</v>
      </c>
      <c r="N13" s="2" t="s">
        <v>349</v>
      </c>
      <c r="O13" s="2" t="s">
        <v>353</v>
      </c>
      <c r="P13" s="2" t="s">
        <v>350</v>
      </c>
      <c r="Q13" s="2" t="s">
        <v>351</v>
      </c>
      <c r="R13" s="2" t="s">
        <v>354</v>
      </c>
      <c r="S13" s="2" t="s">
        <v>352</v>
      </c>
    </row>
    <row r="14" spans="1:19" ht="360.75" thickBot="1" x14ac:dyDescent="0.3">
      <c r="A14">
        <v>23</v>
      </c>
      <c r="B14" s="1" t="s">
        <v>244</v>
      </c>
      <c r="C14" t="s">
        <v>243</v>
      </c>
      <c r="D14" s="1" t="s">
        <v>242</v>
      </c>
      <c r="E14" t="s">
        <v>259</v>
      </c>
      <c r="F14" s="2" t="str">
        <f>$A14&amp;"\Ellipse 143.png"</f>
        <v>23\Ellipse 143.png</v>
      </c>
      <c r="H14" t="s">
        <v>260</v>
      </c>
      <c r="I14" s="11" t="s">
        <v>261</v>
      </c>
      <c r="J14" s="4" t="s">
        <v>262</v>
      </c>
      <c r="K14" s="4" t="s">
        <v>263</v>
      </c>
      <c r="L14" t="s">
        <v>264</v>
      </c>
      <c r="M14" s="1" t="s">
        <v>265</v>
      </c>
      <c r="N14" s="2" t="s">
        <v>315</v>
      </c>
      <c r="O14" s="2" t="s">
        <v>316</v>
      </c>
      <c r="P14" s="2" t="s">
        <v>317</v>
      </c>
      <c r="Q14" s="2" t="s">
        <v>318</v>
      </c>
      <c r="R14" s="2" t="s">
        <v>319</v>
      </c>
      <c r="S14" s="2" t="s">
        <v>320</v>
      </c>
    </row>
    <row r="15" spans="1:19" ht="409.6" thickBot="1" x14ac:dyDescent="0.3">
      <c r="A15">
        <v>15</v>
      </c>
      <c r="B15" s="1" t="s">
        <v>218</v>
      </c>
      <c r="C15" t="s">
        <v>219</v>
      </c>
      <c r="D15" s="1" t="s">
        <v>220</v>
      </c>
      <c r="E15" s="1" t="s">
        <v>257</v>
      </c>
      <c r="F15" s="2" t="str">
        <f>$A15&amp;"\Ellipse 143.png"</f>
        <v>15\Ellipse 143.png</v>
      </c>
      <c r="H15" s="1" t="s">
        <v>258</v>
      </c>
      <c r="I15" s="11" t="s">
        <v>252</v>
      </c>
      <c r="J15" s="11" t="s">
        <v>253</v>
      </c>
      <c r="K15" s="11" t="s">
        <v>254</v>
      </c>
      <c r="L15" t="s">
        <v>255</v>
      </c>
      <c r="M15" s="1" t="s">
        <v>256</v>
      </c>
      <c r="N15" s="2" t="s">
        <v>361</v>
      </c>
      <c r="O15" s="2" t="s">
        <v>362</v>
      </c>
      <c r="P15" s="2" t="s">
        <v>363</v>
      </c>
      <c r="Q15" s="2" t="s">
        <v>364</v>
      </c>
      <c r="R15" s="2" t="s">
        <v>365</v>
      </c>
      <c r="S15" s="2"/>
    </row>
    <row r="16" spans="1:19" ht="330.75" thickBot="1" x14ac:dyDescent="0.3">
      <c r="A16">
        <v>4</v>
      </c>
      <c r="B16" s="6" t="s">
        <v>70</v>
      </c>
      <c r="C16" t="s">
        <v>71</v>
      </c>
      <c r="D16" s="1" t="s">
        <v>206</v>
      </c>
      <c r="E16" s="1" t="s">
        <v>72</v>
      </c>
      <c r="F16" s="2" t="str">
        <f>$A16&amp;"\Ellipse 143.png"</f>
        <v>4\Ellipse 143.png</v>
      </c>
      <c r="H16" s="1" t="s">
        <v>73</v>
      </c>
      <c r="I16" s="4" t="s">
        <v>74</v>
      </c>
      <c r="J16" s="4" t="s">
        <v>76</v>
      </c>
      <c r="K16" s="4" t="s">
        <v>75</v>
      </c>
      <c r="L16" s="1" t="s">
        <v>77</v>
      </c>
      <c r="M16" s="1" t="s">
        <v>78</v>
      </c>
      <c r="N16" s="2" t="str">
        <f>$A16&amp;"\Ellipse 20.png"</f>
        <v>4\Ellipse 20.png</v>
      </c>
      <c r="O16" s="2" t="str">
        <f>$A16&amp;"\Ellipse 21.png"</f>
        <v>4\Ellipse 21.png</v>
      </c>
      <c r="P16" s="2" t="str">
        <f>$A16&amp;"\Rectangle 23.png"</f>
        <v>4\Rectangle 23.png</v>
      </c>
      <c r="Q16" s="2" t="str">
        <f>$A16&amp;"\Rectangle 24.png"</f>
        <v>4\Rectangle 24.png</v>
      </c>
      <c r="R16" s="2" t="str">
        <f>$A16&amp;"\Rectangle 25.png"</f>
        <v>4\Rectangle 25.png</v>
      </c>
      <c r="S16" s="2" t="str">
        <f>$A16&amp;"\Rectangle 26.png"</f>
        <v>4\Rectangle 26.png</v>
      </c>
    </row>
    <row r="17" spans="1:19" ht="345.75" thickBot="1" x14ac:dyDescent="0.3">
      <c r="A17">
        <v>18</v>
      </c>
      <c r="B17" s="1" t="s">
        <v>229</v>
      </c>
      <c r="C17" t="s">
        <v>228</v>
      </c>
      <c r="D17" s="1" t="s">
        <v>227</v>
      </c>
      <c r="E17" s="1" t="s">
        <v>294</v>
      </c>
      <c r="F17" s="2" t="str">
        <f>$A17&amp;"\Ellipse 143.png"</f>
        <v>18\Ellipse 143.png</v>
      </c>
      <c r="H17" s="1" t="s">
        <v>295</v>
      </c>
      <c r="I17" s="10" t="s">
        <v>297</v>
      </c>
      <c r="J17" s="10" t="s">
        <v>298</v>
      </c>
      <c r="K17" s="10" t="s">
        <v>299</v>
      </c>
      <c r="L17" s="9" t="s">
        <v>300</v>
      </c>
      <c r="M17" s="1" t="s">
        <v>296</v>
      </c>
      <c r="N17" s="2" t="s">
        <v>344</v>
      </c>
      <c r="O17" s="2" t="s">
        <v>345</v>
      </c>
      <c r="P17" s="2" t="s">
        <v>346</v>
      </c>
      <c r="Q17" s="2" t="s">
        <v>344</v>
      </c>
      <c r="R17" s="2" t="s">
        <v>347</v>
      </c>
      <c r="S17" s="2" t="s">
        <v>348</v>
      </c>
    </row>
    <row r="18" spans="1:19" ht="409.6" thickBot="1" x14ac:dyDescent="0.3">
      <c r="A18">
        <v>13</v>
      </c>
      <c r="B18" t="s">
        <v>150</v>
      </c>
      <c r="C18" t="s">
        <v>151</v>
      </c>
      <c r="D18" s="1" t="s">
        <v>214</v>
      </c>
      <c r="E18" s="1" t="s">
        <v>152</v>
      </c>
      <c r="F18" s="2" t="str">
        <f>$A18&amp;"\Ellipse 143.png"</f>
        <v>13\Ellipse 143.png</v>
      </c>
      <c r="H18" s="1" t="s">
        <v>153</v>
      </c>
      <c r="I18" s="4" t="s">
        <v>154</v>
      </c>
      <c r="J18" s="4" t="s">
        <v>156</v>
      </c>
      <c r="K18" s="4" t="s">
        <v>155</v>
      </c>
      <c r="L18" s="1" t="s">
        <v>157</v>
      </c>
      <c r="M18" s="1" t="s">
        <v>158</v>
      </c>
      <c r="N18" s="2" t="str">
        <f>$A18&amp;"\Ellipse 20.png"</f>
        <v>13\Ellipse 20.png</v>
      </c>
      <c r="O18" s="2" t="str">
        <f>$A18&amp;"\Ellipse 21.png"</f>
        <v>13\Ellipse 21.png</v>
      </c>
      <c r="P18" s="2" t="str">
        <f>$A18&amp;"\Rectangle 23.png"</f>
        <v>13\Rectangle 23.png</v>
      </c>
      <c r="Q18" s="2" t="str">
        <f>$A18&amp;"\Rectangle 24.png"</f>
        <v>13\Rectangle 24.png</v>
      </c>
      <c r="R18" s="2" t="str">
        <f>$A18&amp;"\Rectangle 25.png"</f>
        <v>13\Rectangle 25.png</v>
      </c>
      <c r="S18" s="2" t="str">
        <f>$A18&amp;"\Rectangle 26.png"</f>
        <v>13\Rectangle 26.png</v>
      </c>
    </row>
    <row r="19" spans="1:19" ht="409.6" thickBot="1" x14ac:dyDescent="0.3">
      <c r="A19">
        <v>14</v>
      </c>
      <c r="B19" s="1" t="s">
        <v>215</v>
      </c>
      <c r="C19" s="8" t="s">
        <v>216</v>
      </c>
      <c r="D19" s="1" t="s">
        <v>217</v>
      </c>
      <c r="E19" s="1" t="s">
        <v>251</v>
      </c>
      <c r="F19" s="2" t="str">
        <f>$A19&amp;"\Ellipse 143.png"</f>
        <v>14\Ellipse 143.png</v>
      </c>
      <c r="H19" s="1" t="s">
        <v>245</v>
      </c>
      <c r="I19" s="4" t="s">
        <v>247</v>
      </c>
      <c r="J19" s="5" t="s">
        <v>246</v>
      </c>
      <c r="K19" s="4" t="s">
        <v>248</v>
      </c>
      <c r="L19" s="1" t="s">
        <v>249</v>
      </c>
      <c r="M19" s="1" t="s">
        <v>250</v>
      </c>
      <c r="N19" s="2" t="s">
        <v>366</v>
      </c>
      <c r="O19" s="2" t="s">
        <v>367</v>
      </c>
      <c r="P19" s="2" t="s">
        <v>368</v>
      </c>
      <c r="Q19" s="2" t="s">
        <v>369</v>
      </c>
      <c r="R19" s="2" t="s">
        <v>371</v>
      </c>
      <c r="S19" s="2" t="s">
        <v>370</v>
      </c>
    </row>
    <row r="20" spans="1:19" ht="345.75" thickBot="1" x14ac:dyDescent="0.3">
      <c r="A20">
        <v>19</v>
      </c>
      <c r="B20" s="1" t="s">
        <v>230</v>
      </c>
      <c r="C20" t="s">
        <v>232</v>
      </c>
      <c r="D20" s="1" t="s">
        <v>231</v>
      </c>
      <c r="E20" t="s">
        <v>287</v>
      </c>
      <c r="F20" s="2" t="str">
        <f>$A20&amp;"\Ellipse 143.png"</f>
        <v>19\Ellipse 143.png</v>
      </c>
      <c r="H20" t="s">
        <v>288</v>
      </c>
      <c r="I20" s="4" t="s">
        <v>293</v>
      </c>
      <c r="J20" s="4" t="s">
        <v>292</v>
      </c>
      <c r="K20" s="4" t="s">
        <v>291</v>
      </c>
      <c r="L20" t="s">
        <v>290</v>
      </c>
      <c r="M20" s="1" t="s">
        <v>289</v>
      </c>
      <c r="N20" s="2" t="s">
        <v>338</v>
      </c>
      <c r="O20" s="2" t="s">
        <v>339</v>
      </c>
      <c r="P20" s="2" t="s">
        <v>340</v>
      </c>
      <c r="Q20" s="2" t="s">
        <v>341</v>
      </c>
      <c r="R20" s="2" t="s">
        <v>342</v>
      </c>
      <c r="S20" s="2" t="s">
        <v>343</v>
      </c>
    </row>
    <row r="21" spans="1:19" ht="195.75" thickBot="1" x14ac:dyDescent="0.3">
      <c r="A21">
        <v>11</v>
      </c>
      <c r="B21" t="s">
        <v>123</v>
      </c>
      <c r="C21" t="s">
        <v>132</v>
      </c>
      <c r="D21" s="1" t="s">
        <v>133</v>
      </c>
      <c r="E21" s="1" t="s">
        <v>134</v>
      </c>
      <c r="F21" s="2" t="str">
        <f>$A21&amp;"\Ellipse 143.png"</f>
        <v>11\Ellipse 143.png</v>
      </c>
      <c r="H21" s="1" t="s">
        <v>135</v>
      </c>
      <c r="I21" s="4" t="s">
        <v>136</v>
      </c>
      <c r="J21" s="4" t="s">
        <v>137</v>
      </c>
      <c r="K21" s="4" t="s">
        <v>139</v>
      </c>
      <c r="L21" s="1" t="s">
        <v>138</v>
      </c>
      <c r="M21" s="1" t="s">
        <v>140</v>
      </c>
      <c r="N21" s="2" t="str">
        <f>$A21&amp;"\Ellipse 20.png"</f>
        <v>11\Ellipse 20.png</v>
      </c>
      <c r="O21" s="2" t="str">
        <f>$A21&amp;"\Ellipse 21.png"</f>
        <v>11\Ellipse 21.png</v>
      </c>
      <c r="P21" s="2" t="str">
        <f>$A21&amp;"\Rectangle 23.png"</f>
        <v>11\Rectangle 23.png</v>
      </c>
      <c r="Q21" s="2" t="str">
        <f>$A21&amp;"\Rectangle 24.png"</f>
        <v>11\Rectangle 24.png</v>
      </c>
      <c r="R21" s="2" t="str">
        <f>$A21&amp;"\Rectangle 25.png"</f>
        <v>11\Rectangle 25.png</v>
      </c>
      <c r="S21" s="2" t="str">
        <f>$A21&amp;"\Rectangle 26.png"</f>
        <v>11\Rectangle 26.png</v>
      </c>
    </row>
    <row r="22" spans="1:19" ht="330.75" thickBot="1" x14ac:dyDescent="0.3">
      <c r="A22">
        <v>20</v>
      </c>
      <c r="B22" s="1" t="s">
        <v>233</v>
      </c>
      <c r="C22" t="s">
        <v>234</v>
      </c>
      <c r="D22" s="1" t="s">
        <v>235</v>
      </c>
      <c r="E22" t="s">
        <v>280</v>
      </c>
      <c r="F22" s="2" t="str">
        <f>$A22&amp;"\Ellipse 143.png"</f>
        <v>20\Ellipse 143.png</v>
      </c>
      <c r="H22" t="s">
        <v>281</v>
      </c>
      <c r="I22" s="4" t="s">
        <v>286</v>
      </c>
      <c r="J22" s="4" t="s">
        <v>285</v>
      </c>
      <c r="K22" s="4" t="s">
        <v>284</v>
      </c>
      <c r="L22" t="s">
        <v>283</v>
      </c>
      <c r="M22" s="1" t="s">
        <v>282</v>
      </c>
      <c r="N22" s="2" t="str">
        <f>$A22&amp;"\Ellipse 143.png"</f>
        <v>20\Ellipse 143.png</v>
      </c>
      <c r="O22" s="2" t="s">
        <v>333</v>
      </c>
      <c r="P22" s="2" t="s">
        <v>334</v>
      </c>
      <c r="Q22" s="2" t="s">
        <v>335</v>
      </c>
      <c r="R22" s="2" t="s">
        <v>336</v>
      </c>
      <c r="S22" s="2" t="s">
        <v>337</v>
      </c>
    </row>
    <row r="23" spans="1:19" ht="390.75" thickBot="1" x14ac:dyDescent="0.3">
      <c r="A23">
        <v>8</v>
      </c>
      <c r="B23" s="1" t="s">
        <v>105</v>
      </c>
      <c r="C23" t="s">
        <v>106</v>
      </c>
      <c r="D23" s="1" t="s">
        <v>210</v>
      </c>
      <c r="E23" t="s">
        <v>107</v>
      </c>
      <c r="F23" s="2" t="str">
        <f>$A23&amp;"\Ellipse 143.png"</f>
        <v>8\Ellipse 143.png</v>
      </c>
      <c r="H23" t="s">
        <v>108</v>
      </c>
      <c r="I23" s="4" t="s">
        <v>109</v>
      </c>
      <c r="J23" s="4" t="s">
        <v>112</v>
      </c>
      <c r="K23" s="11" t="s">
        <v>110</v>
      </c>
      <c r="L23" s="1" t="s">
        <v>111</v>
      </c>
      <c r="M23" s="1" t="s">
        <v>113</v>
      </c>
      <c r="N23" s="2" t="str">
        <f>$A23&amp;"\Ellipse 20.png"</f>
        <v>8\Ellipse 20.png</v>
      </c>
      <c r="O23" s="2" t="str">
        <f>$A23&amp;"\Ellipse 21.png"</f>
        <v>8\Ellipse 21.png</v>
      </c>
      <c r="P23" s="2" t="str">
        <f>$A23&amp;"\Rectangle 23.png"</f>
        <v>8\Rectangle 23.png</v>
      </c>
      <c r="Q23" s="2" t="str">
        <f>$A23&amp;"\Rectangle 24.png"</f>
        <v>8\Rectangle 24.png</v>
      </c>
      <c r="R23" s="2" t="str">
        <f>$A23&amp;"\Rectangle 25.png"</f>
        <v>8\Rectangle 25.png</v>
      </c>
      <c r="S23" s="2" t="str">
        <f>$A23&amp;"\Rectangle 26.png"</f>
        <v>8\Rectangle 26.png</v>
      </c>
    </row>
    <row r="24" spans="1:19" ht="390.75" thickBot="1" x14ac:dyDescent="0.3">
      <c r="A24">
        <v>16</v>
      </c>
      <c r="B24" s="1" t="s">
        <v>221</v>
      </c>
      <c r="C24" t="s">
        <v>222</v>
      </c>
      <c r="D24" s="1" t="s">
        <v>223</v>
      </c>
      <c r="E24" s="1" t="s">
        <v>308</v>
      </c>
      <c r="F24" s="2" t="str">
        <f>$A24&amp;"\Ellipse 143.png"</f>
        <v>16\Ellipse 143.png</v>
      </c>
      <c r="H24" s="1" t="s">
        <v>309</v>
      </c>
      <c r="I24" s="10" t="s">
        <v>314</v>
      </c>
      <c r="J24" s="10" t="s">
        <v>313</v>
      </c>
      <c r="K24" s="10" t="s">
        <v>312</v>
      </c>
      <c r="L24" s="1" t="s">
        <v>311</v>
      </c>
      <c r="M24" s="1" t="s">
        <v>310</v>
      </c>
      <c r="N24" s="2" t="s">
        <v>355</v>
      </c>
      <c r="O24" s="2" t="s">
        <v>356</v>
      </c>
      <c r="P24" s="2" t="s">
        <v>357</v>
      </c>
      <c r="Q24" s="2" t="s">
        <v>358</v>
      </c>
      <c r="R24" s="2" t="s">
        <v>359</v>
      </c>
      <c r="S24" s="2" t="s">
        <v>360</v>
      </c>
    </row>
    <row r="25" spans="1:19" ht="390.75" thickBot="1" x14ac:dyDescent="0.3">
      <c r="A25">
        <v>6</v>
      </c>
      <c r="B25" t="s">
        <v>88</v>
      </c>
      <c r="C25" t="s">
        <v>89</v>
      </c>
      <c r="D25" s="1" t="s">
        <v>208</v>
      </c>
      <c r="E25" s="1" t="s">
        <v>90</v>
      </c>
      <c r="F25" s="2" t="str">
        <f>$A25&amp;"\Ellipse 143.png"</f>
        <v>6\Ellipse 143.png</v>
      </c>
      <c r="H25" s="1" t="s">
        <v>96</v>
      </c>
      <c r="I25" s="13" t="s">
        <v>93</v>
      </c>
      <c r="J25" s="4" t="s">
        <v>92</v>
      </c>
      <c r="K25" s="11" t="s">
        <v>94</v>
      </c>
      <c r="L25" s="1" t="s">
        <v>91</v>
      </c>
      <c r="M25" s="1" t="s">
        <v>95</v>
      </c>
      <c r="N25" s="2" t="str">
        <f>$A25&amp;"\Ellipse 20.png"</f>
        <v>6\Ellipse 20.png</v>
      </c>
      <c r="O25" s="2" t="str">
        <f>$A25&amp;"\Ellipse 21.png"</f>
        <v>6\Ellipse 21.png</v>
      </c>
      <c r="P25" s="2" t="str">
        <f>$A25&amp;"\Rectangle 23.png"</f>
        <v>6\Rectangle 23.png</v>
      </c>
      <c r="Q25" s="2" t="str">
        <f>$A25&amp;"\Rectangle 24.png"</f>
        <v>6\Rectangle 24.png</v>
      </c>
      <c r="R25" s="2" t="str">
        <f>$A25&amp;"\Rectangle 25.png"</f>
        <v>6\Rectangle 25.png</v>
      </c>
      <c r="S25" s="2" t="str">
        <f>$A25&amp;"\Rectangle 26.png"</f>
        <v>6\Rectangle 26.png</v>
      </c>
    </row>
    <row r="26" spans="1:19" ht="15.75" thickBot="1" x14ac:dyDescent="0.3">
      <c r="F26" s="2"/>
      <c r="I26" s="4"/>
      <c r="J26" s="4"/>
      <c r="K26" s="4"/>
    </row>
    <row r="27" spans="1:19" ht="15.75" thickBot="1" x14ac:dyDescent="0.3">
      <c r="F27" s="2"/>
      <c r="I27" s="4"/>
      <c r="J27" s="4"/>
      <c r="K27" s="4"/>
    </row>
    <row r="28" spans="1:19" ht="15.75" thickBot="1" x14ac:dyDescent="0.3">
      <c r="F28" s="2"/>
      <c r="I28" s="4"/>
      <c r="J28" s="4"/>
      <c r="K28" s="4"/>
    </row>
    <row r="29" spans="1:19" ht="15.75" thickBot="1" x14ac:dyDescent="0.3">
      <c r="F29" s="2"/>
      <c r="I29" s="4"/>
      <c r="J29" s="4"/>
      <c r="K29" s="4"/>
    </row>
    <row r="30" spans="1:19" ht="15.75" thickBot="1" x14ac:dyDescent="0.3">
      <c r="B30"/>
      <c r="F30" s="2"/>
      <c r="I30" s="4"/>
      <c r="J30" s="4"/>
      <c r="K30" s="4"/>
    </row>
    <row r="31" spans="1:19" ht="15.75" thickBot="1" x14ac:dyDescent="0.3">
      <c r="B31"/>
      <c r="D31"/>
      <c r="F31" s="2"/>
      <c r="I31" s="4"/>
      <c r="J31" s="4"/>
      <c r="K31" s="4"/>
    </row>
    <row r="32" spans="1:19" ht="15.75" thickBot="1" x14ac:dyDescent="0.3">
      <c r="F32" s="2"/>
      <c r="I32" s="4"/>
      <c r="J32" s="4"/>
      <c r="K32" s="4"/>
    </row>
    <row r="33" spans="2:11" ht="15.75" thickBot="1" x14ac:dyDescent="0.3">
      <c r="F33" s="2"/>
      <c r="I33" s="4"/>
      <c r="J33" s="5"/>
      <c r="K33" s="4"/>
    </row>
    <row r="34" spans="2:11" ht="15.75" thickBot="1" x14ac:dyDescent="0.3">
      <c r="B34" s="3"/>
      <c r="F34" s="2"/>
      <c r="I34" s="4"/>
      <c r="J34" s="4"/>
      <c r="K34" s="4"/>
    </row>
  </sheetData>
  <sortState xmlns:xlrd2="http://schemas.microsoft.com/office/spreadsheetml/2017/richdata2" ref="A2:S34">
    <sortCondition ref="B1:B34"/>
  </sortState>
  <hyperlinks>
    <hyperlink ref="F6" r:id="rId1" display="Жуковский\Ellipse 143.png" xr:uid="{9AC8178E-DA2D-44AC-80AD-F66C87ABAA93}"/>
    <hyperlink ref="F7" r:id="rId2" display="Жуковский\Ellipse 143.png" xr:uid="{2608A58F-5701-4347-9DFF-6B7DC297E375}"/>
    <hyperlink ref="N6" r:id="rId3" display="Жуковский\Ellipse 143.png" xr:uid="{BA3F6BB8-2D14-4183-95D8-5499B6FFFC0D}"/>
    <hyperlink ref="O6" r:id="rId4" display="Жуковский\Ellipse 143.png" xr:uid="{ED943793-12CB-4167-A3DF-01B12C125F25}"/>
    <hyperlink ref="P6" r:id="rId5" display="Жуковский\Ellipse 143.png" xr:uid="{A0B40D7A-C059-4303-ADCA-C5A2D0396DE8}"/>
    <hyperlink ref="Q6:S6" r:id="rId6" display="Жуковский\Ellipse 143.png" xr:uid="{7A039A31-E0A1-4B7F-A3DD-C51972D153EE}"/>
    <hyperlink ref="N7" r:id="rId7" display="Жуковский\Ellipse 143.png" xr:uid="{8171F638-34C9-4C3B-97FE-4427DFC8690D}"/>
    <hyperlink ref="O7" r:id="rId8" display="Жуковский\Ellipse 143.png" xr:uid="{31EA81E4-C843-4B5E-8E5D-0E2401AB5EC2}"/>
    <hyperlink ref="P7" r:id="rId9" display="Жуковский\Ellipse 143.png" xr:uid="{7C9470D3-BD8F-485F-AF25-B16FCECE94B3}"/>
    <hyperlink ref="Q7:S7" r:id="rId10" display="Жуковский\Ellipse 143.png" xr:uid="{F627BBF8-312F-4E3C-B56B-0947EBB3E26B}"/>
    <hyperlink ref="N10" r:id="rId11" display="Жуковский\Ellipse 143.png" xr:uid="{5C2BE397-E5AE-47AF-90A5-66F7937E07B1}"/>
    <hyperlink ref="N5" r:id="rId12" display="Жуковский\Ellipse 143.png" xr:uid="{609B0A1E-BFE5-4757-BB04-08D43AB59844}"/>
    <hyperlink ref="N16" r:id="rId13" display="Жуковский\Ellipse 143.png" xr:uid="{DDF2A3B4-1FE2-4EBA-AA5C-56114F1895E7}"/>
    <hyperlink ref="N9" r:id="rId14" display="Жуковский\Ellipse 143.png" xr:uid="{938A883E-4504-4DAD-8AF0-4D9130C3CCA8}"/>
    <hyperlink ref="N25" r:id="rId15" display="Жуковский\Ellipse 143.png" xr:uid="{33BA3CE1-ADB7-4F9C-A960-71A6E416AC62}"/>
    <hyperlink ref="N12" r:id="rId16" display="Жуковский\Ellipse 143.png" xr:uid="{A823EFCB-2A6F-40DC-8671-5F9152BC3648}"/>
    <hyperlink ref="N23" r:id="rId17" display="Жуковский\Ellipse 143.png" xr:uid="{1B8EBDB3-DF8B-461C-B2AE-7606A1907009}"/>
    <hyperlink ref="N2" r:id="rId18" display="Жуковский\Ellipse 143.png" xr:uid="{13CDC6AF-E8C6-4084-9D5F-2B3075A8676B}"/>
    <hyperlink ref="N4" r:id="rId19" display="Жуковский\Ellipse 143.png" xr:uid="{FFD2E772-B70A-4F93-9C21-21A169B9F04A}"/>
    <hyperlink ref="N21" r:id="rId20" display="Жуковский\Ellipse 143.png" xr:uid="{8DE23DCD-9D18-4795-B026-FF713433B461}"/>
    <hyperlink ref="N3" r:id="rId21" display="Жуковский\Ellipse 143.png" xr:uid="{B5F15F95-93B1-4AE6-822A-4C2677A24298}"/>
    <hyperlink ref="N18" r:id="rId22" display="Жуковский\Ellipse 143.png" xr:uid="{F9116855-1E73-4712-9212-ED6F459DB11A}"/>
    <hyperlink ref="O10" r:id="rId23" display="Жуковский\Ellipse 143.png" xr:uid="{30689A48-7A1A-4905-A8F1-26532F418435}"/>
    <hyperlink ref="O5" r:id="rId24" display="Жуковский\Ellipse 143.png" xr:uid="{260DA60F-EFE5-4979-8B04-458BC2A1D569}"/>
    <hyperlink ref="O16" r:id="rId25" display="Жуковский\Ellipse 143.png" xr:uid="{2D885BA7-CF75-404F-8DDB-7293EF9D0EBD}"/>
    <hyperlink ref="O9" r:id="rId26" display="Жуковский\Ellipse 143.png" xr:uid="{BAE6A7DE-6B21-4344-B48D-86E56C314FD7}"/>
    <hyperlink ref="O25" r:id="rId27" display="Жуковский\Ellipse 143.png" xr:uid="{988F1E7C-E611-48C4-B138-51AD21FA7850}"/>
    <hyperlink ref="O12" r:id="rId28" display="Жуковский\Ellipse 143.png" xr:uid="{50E792F1-D6D6-4F8C-8EB3-1D335F298D7F}"/>
    <hyperlink ref="O23" r:id="rId29" display="Жуковский\Ellipse 143.png" xr:uid="{A4EA842C-6BB3-4C9F-BFEE-5CA322F6A09B}"/>
    <hyperlink ref="O2" r:id="rId30" display="Жуковский\Ellipse 143.png" xr:uid="{72544A6F-A4A5-4A43-BFA0-44A6C41FD3EA}"/>
    <hyperlink ref="O4" r:id="rId31" display="Жуковский\Ellipse 143.png" xr:uid="{FEC80E0B-67B7-4D07-98F8-DF4F16D5153E}"/>
    <hyperlink ref="O21" r:id="rId32" display="Жуковский\Ellipse 143.png" xr:uid="{1544DA00-FB75-4272-B970-B6AF02629AB6}"/>
    <hyperlink ref="O3" r:id="rId33" display="Жуковский\Ellipse 143.png" xr:uid="{3503B616-2D2D-4311-B051-C44C60FC988F}"/>
    <hyperlink ref="O18" r:id="rId34" display="Жуковский\Ellipse 143.png" xr:uid="{8521908A-2E11-409E-921A-D474F725E370}"/>
    <hyperlink ref="P10" r:id="rId35" display="Жуковский\Ellipse 143.png" xr:uid="{259933B7-2404-428C-869D-5A74C80227D7}"/>
    <hyperlink ref="P5" r:id="rId36" display="Жуковский\Ellipse 143.png" xr:uid="{2A43FC46-A3F4-437D-B1B1-5DE42742B9E8}"/>
    <hyperlink ref="P16" r:id="rId37" display="Жуковский\Ellipse 143.png" xr:uid="{27800FB9-F378-4748-891B-8E483B347964}"/>
    <hyperlink ref="P9" r:id="rId38" display="Жуковский\Ellipse 143.png" xr:uid="{B6C37C0D-0763-45B6-800F-44D4852CAE28}"/>
    <hyperlink ref="P25" r:id="rId39" display="Жуковский\Ellipse 143.png" xr:uid="{9A1233FD-26CC-4F13-B9F3-4C5001348376}"/>
    <hyperlink ref="P12" r:id="rId40" display="Жуковский\Ellipse 143.png" xr:uid="{C7471CA7-2138-4DE0-8EB1-2AACF3D709DE}"/>
    <hyperlink ref="P23" r:id="rId41" display="Жуковский\Ellipse 143.png" xr:uid="{CE2E2AC4-1545-43C2-8AE2-5A4BBBE391E4}"/>
    <hyperlink ref="P2" r:id="rId42" display="Жуковский\Ellipse 143.png" xr:uid="{26C1C9CC-60AE-4682-9989-140992BB405B}"/>
    <hyperlink ref="P4" r:id="rId43" display="Жуковский\Ellipse 143.png" xr:uid="{DA98F66F-0CB3-485F-97AC-6CC7F78BCAC0}"/>
    <hyperlink ref="P21" r:id="rId44" display="Жуковский\Ellipse 143.png" xr:uid="{38CB9F26-F559-4BB6-A523-9CDD60BADC74}"/>
    <hyperlink ref="P3" r:id="rId45" display="Жуковский\Ellipse 143.png" xr:uid="{E5460C14-C065-48F2-83E3-FAE5F7D913F4}"/>
    <hyperlink ref="P18" r:id="rId46" display="Жуковский\Ellipse 143.png" xr:uid="{F29C2D8D-20ED-43AF-98B2-4EAC569C9489}"/>
    <hyperlink ref="Q10:S10" r:id="rId47" display="Жуковский\Ellipse 143.png" xr:uid="{D596C48A-45B7-4465-8B6C-2927D2F8351D}"/>
    <hyperlink ref="Q5:S5" r:id="rId48" display="Жуковский\Ellipse 143.png" xr:uid="{56FF9C52-A985-46DA-A4D8-0EB2317554E3}"/>
    <hyperlink ref="Q16:S16" r:id="rId49" display="Жуковский\Ellipse 143.png" xr:uid="{EC37F4AA-40AB-4BA5-BCFF-17AC648DB089}"/>
    <hyperlink ref="Q9:S9" r:id="rId50" display="Жуковский\Ellipse 143.png" xr:uid="{3F121E56-4812-4A9B-B41D-E9F3E5133F2D}"/>
    <hyperlink ref="Q25:S25" r:id="rId51" display="Жуковский\Ellipse 143.png" xr:uid="{DEE0A60E-EC64-4E0F-873A-A563C282B844}"/>
    <hyperlink ref="Q12:S12" r:id="rId52" display="Жуковский\Ellipse 143.png" xr:uid="{417A3D21-5DB9-4266-BE05-259B0AB0600D}"/>
    <hyperlink ref="Q23:S23" r:id="rId53" display="Жуковский\Ellipse 143.png" xr:uid="{6323F40E-17E6-45B8-AD5F-2CF6E0B6D174}"/>
    <hyperlink ref="Q2:S2" r:id="rId54" display="Жуковский\Ellipse 143.png" xr:uid="{E30D2532-6D32-4ED4-BA55-23D1616624C2}"/>
    <hyperlink ref="Q4:S4" r:id="rId55" display="Жуковский\Ellipse 143.png" xr:uid="{6B200F12-ECF3-4249-8BCD-D4EFC01FB9BE}"/>
    <hyperlink ref="Q21:S21" r:id="rId56" display="Жуковский\Ellipse 143.png" xr:uid="{872E232A-9354-4B03-9881-A39CC54758D4}"/>
    <hyperlink ref="Q3:S3" r:id="rId57" display="Жуковский\Ellipse 143.png" xr:uid="{CA4AB798-B394-44A5-B14D-2CD630DAF49E}"/>
    <hyperlink ref="Q18:S18" r:id="rId58" display="Жуковский\Ellipse 143.png" xr:uid="{2A687A25-C434-49BA-A872-D27B3D86C97F}"/>
    <hyperlink ref="F10" r:id="rId59" display="Жуковский\Ellipse 143.png" xr:uid="{B4716043-0496-4F57-B20C-E39F6DA66EB9}"/>
    <hyperlink ref="F5" r:id="rId60" display="Жуковский\Ellipse 143.png" xr:uid="{5CE7C6C2-C2F6-4EE3-8DC1-FE35CE63BFBF}"/>
    <hyperlink ref="F16" r:id="rId61" display="Жуковский\Ellipse 143.png" xr:uid="{2E9BB7CD-829A-4832-AD67-22F5224E53B1}"/>
    <hyperlink ref="F25" r:id="rId62" display="Жуковский\Ellipse 143.png" xr:uid="{C2C8898C-72F8-4124-A064-1FC005A7B0C1}"/>
    <hyperlink ref="F9" r:id="rId63" display="Жуковский\Ellipse 143.png" xr:uid="{66346EA4-D55D-4203-91AA-820ECBC6CA5C}"/>
    <hyperlink ref="F12" r:id="rId64" display="Жуковский\Ellipse 143.png" xr:uid="{A0F15A9A-8E73-4721-825F-202D4BDEF946}"/>
    <hyperlink ref="F23" r:id="rId65" display="Жуковский\Ellipse 143.png" xr:uid="{06B6B3CB-75D8-42BB-9D79-5C34074DF105}"/>
    <hyperlink ref="F11:F21" r:id="rId66" display="Жуковский\Ellipse 143.png" xr:uid="{451C03BD-6B27-4939-9A55-C08729DE0514}"/>
    <hyperlink ref="F22:F25" r:id="rId67" display="Жуковский\Ellipse 143.png" xr:uid="{3D05B952-E7DB-492C-BC45-53471F8DF39D}"/>
    <hyperlink ref="N14" r:id="rId68" xr:uid="{A9EE33C7-AE4B-4CE3-A701-2FB370A2003D}"/>
    <hyperlink ref="O14" r:id="rId69" xr:uid="{1E24182F-A6BC-4378-874C-1EEB1FEEFABD}"/>
    <hyperlink ref="P14" r:id="rId70" xr:uid="{7096109A-09C5-4838-AE4E-85C7BDF51318}"/>
    <hyperlink ref="P14:R14" r:id="rId71" display="23\czgakffdspb_fotodokumentop.1gr-10.ed.hr.10974_0001.jpeg" xr:uid="{E542AE88-F2C2-4C06-807A-0931D4223B3C}"/>
    <hyperlink ref="Q14" r:id="rId72" xr:uid="{76A99017-8C60-4CF4-A1DB-03243868878C}"/>
    <hyperlink ref="R14" r:id="rId73" xr:uid="{59CFD0A7-E376-4B41-AB25-B5C4D837E5D2}"/>
    <hyperlink ref="S14" r:id="rId74" xr:uid="{9C324D94-94E9-484B-BB56-10D9CA287D05}"/>
    <hyperlink ref="N11" r:id="rId75" xr:uid="{39020A44-85E0-44B8-801D-21C2011374B3}"/>
    <hyperlink ref="O11" r:id="rId76" xr:uid="{7DB2EA5B-D91D-4DAF-9C3C-FA7A875D203D}"/>
    <hyperlink ref="P11" r:id="rId77" xr:uid="{1A787B57-6764-4B9F-8033-12042AF466C3}"/>
    <hyperlink ref="Q11" r:id="rId78" xr:uid="{99FC448D-0665-46BD-A25B-4A11A4C79D2B}"/>
    <hyperlink ref="R11" r:id="rId79" xr:uid="{F36CF9AE-8B5B-40AA-9501-043894BBC4EB}"/>
    <hyperlink ref="S11" r:id="rId80" xr:uid="{F0D831FF-B80A-4DCF-B5F4-56F434C76A2E}"/>
    <hyperlink ref="N8" r:id="rId81" xr:uid="{785BF246-8DD5-42D0-AB09-FD148ACFC4AA}"/>
    <hyperlink ref="O8" r:id="rId82" xr:uid="{C56E920D-71AC-466E-982B-F0E5C5201888}"/>
    <hyperlink ref="P8" r:id="rId83" xr:uid="{C2CBC99E-1846-41FA-8F7D-A5E16186B76C}"/>
    <hyperlink ref="Q8" r:id="rId84" xr:uid="{2AF34AEE-612B-45D4-ACC3-B5D021276E1F}"/>
    <hyperlink ref="R8" r:id="rId85" xr:uid="{429F59AA-7E95-4E9A-9C2C-D3ED94FD9DAC}"/>
    <hyperlink ref="S8" r:id="rId86" xr:uid="{FBEA6DE5-232A-4185-B100-041CEC81A9E7}"/>
    <hyperlink ref="N22" r:id="rId87" display="Жуковский\Ellipse 143.png" xr:uid="{EF0DFB53-1C19-4412-9724-32B06D18251B}"/>
    <hyperlink ref="O22" r:id="rId88" xr:uid="{CC43FEA7-8B47-4087-9641-B8746BBCBF23}"/>
    <hyperlink ref="P22" r:id="rId89" xr:uid="{839F6366-F9DB-4753-847C-A0C3ECDE2994}"/>
    <hyperlink ref="Q22" r:id="rId90" xr:uid="{5E52BF69-9076-4843-B01A-BB38362A1055}"/>
    <hyperlink ref="R22" r:id="rId91" xr:uid="{DD245C1C-4E1A-4F19-AE26-A0A288929B97}"/>
    <hyperlink ref="S22" r:id="rId92" xr:uid="{B4F7233F-9DA1-40BB-92C3-93E4DE93B938}"/>
    <hyperlink ref="N20" r:id="rId93" xr:uid="{37A6BD04-D6AC-4158-9174-CFEA8D4BA5E0}"/>
    <hyperlink ref="O20" r:id="rId94" xr:uid="{19BFA3C8-B33F-46DC-AF67-D5F99371F7A0}"/>
    <hyperlink ref="P20" r:id="rId95" xr:uid="{C4A7F023-3F63-4821-8887-9D7AEFE2A4BA}"/>
    <hyperlink ref="Q20" r:id="rId96" xr:uid="{063A9AE5-EF26-44A6-B2B4-926B816D6309}"/>
    <hyperlink ref="R20" r:id="rId97" xr:uid="{E8FBC428-EC99-4518-98C9-4EB5CCDDBA0E}"/>
    <hyperlink ref="S20" r:id="rId98" xr:uid="{159471AF-0907-45DA-9BA1-93BE4EDAB4EB}"/>
    <hyperlink ref="N17" r:id="rId99" xr:uid="{168A4D32-5EBB-45F1-9C4D-0DFCE651B9CF}"/>
    <hyperlink ref="O17" r:id="rId100" xr:uid="{F2F4EDC0-BB74-474E-924B-F3DA9C1129E3}"/>
    <hyperlink ref="P17" r:id="rId101" xr:uid="{20B486DE-2154-4516-B1CF-CE8538ADF201}"/>
    <hyperlink ref="Q17" r:id="rId102" xr:uid="{52BCE78F-E9BC-48F3-9326-61B20D575E30}"/>
    <hyperlink ref="R17" r:id="rId103" xr:uid="{9927A4D2-D40C-4A93-A480-E040EB9AB7F4}"/>
    <hyperlink ref="S17" r:id="rId104" xr:uid="{ED8AC9E6-E8AF-4861-8203-74D9063F8D61}"/>
    <hyperlink ref="N13" r:id="rId105" xr:uid="{E710E735-C63E-415D-91C9-413621C15079}"/>
    <hyperlink ref="P13" r:id="rId106" xr:uid="{03D1B8A0-143E-4A0A-8234-79399F12FF5E}"/>
    <hyperlink ref="Q13" r:id="rId107" xr:uid="{272D5013-F971-4FE0-95A0-53FC09276201}"/>
    <hyperlink ref="R13" r:id="rId108" xr:uid="{9127A40E-F378-4CA9-8EF5-34BE01F17E0D}"/>
    <hyperlink ref="S13" r:id="rId109" xr:uid="{C1880A7E-07E5-4EA8-A844-5DD0C12710B7}"/>
    <hyperlink ref="O13" r:id="rId110" xr:uid="{7BA8F2A5-C8BD-4A76-8FD8-8C08485E273E}"/>
    <hyperlink ref="N24" r:id="rId111" xr:uid="{7B20D33F-44DF-4C3F-ADD9-694CEE461FFD}"/>
    <hyperlink ref="O24" r:id="rId112" xr:uid="{7D90A696-9E7D-4B92-94D3-B464C701C779}"/>
    <hyperlink ref="P24" r:id="rId113" xr:uid="{C3B0F2A0-A6CC-4DFF-8A4E-4C994AE6C101}"/>
    <hyperlink ref="Q24" r:id="rId114" xr:uid="{83B9FEE2-04E0-4EBE-B206-C657C3F90330}"/>
    <hyperlink ref="R24" r:id="rId115" xr:uid="{89381B55-8CA5-4140-82CC-F604B863AD31}"/>
    <hyperlink ref="S24" r:id="rId116" xr:uid="{CC7EE05D-F1CB-4DFE-8482-99D378BB6C0B}"/>
    <hyperlink ref="N15" r:id="rId117" xr:uid="{AAFD21B4-FC4D-4FDC-8568-E01B9886DEA5}"/>
    <hyperlink ref="O15" r:id="rId118" xr:uid="{AF4C59D5-BE4B-4826-80CE-0CEF4029F18A}"/>
    <hyperlink ref="P15" r:id="rId119" xr:uid="{F0320D16-8395-48C4-913D-9DF10CBA29DF}"/>
    <hyperlink ref="Q15" r:id="rId120" xr:uid="{88ADE973-51A0-4FAE-B225-8A9A90A0477F}"/>
    <hyperlink ref="R15" r:id="rId121" xr:uid="{DAEE8111-0315-4617-A37D-97F9C1B2E797}"/>
    <hyperlink ref="N19" r:id="rId122" xr:uid="{6B8FBC70-7587-4F78-96F3-047739016A5E}"/>
    <hyperlink ref="O19" r:id="rId123" xr:uid="{A9E0F97D-000E-4A62-B247-FF166E8F8F70}"/>
    <hyperlink ref="P19" r:id="rId124" xr:uid="{CF6A7A73-8E5C-4FB0-A1EF-F79B836D6EEC}"/>
    <hyperlink ref="Q19" r:id="rId125" xr:uid="{72EC6B1F-F55C-4E7C-BDFA-E3028229BFE2}"/>
    <hyperlink ref="R19" r:id="rId126" xr:uid="{60B4837A-95ED-41EE-A876-E2FA570B5A9A}"/>
    <hyperlink ref="S19" r:id="rId127" xr:uid="{D2E478A3-48D4-477C-854A-196CE53C0D81}"/>
  </hyperlinks>
  <pageMargins left="0.7" right="0.7" top="0.75" bottom="0.75" header="0.3" footer="0.3"/>
  <pageSetup paperSize="9" orientation="portrait" verticalDpi="0" r:id="rId128"/>
  <drawing r:id="rId129"/>
  <legacyDrawing r:id="rId130"/>
  <mc:AlternateContent xmlns:mc="http://schemas.openxmlformats.org/markup-compatibility/2006">
    <mc:Choice Requires="x14">
      <controls>
        <mc:AlternateContent xmlns:mc="http://schemas.openxmlformats.org/markup-compatibility/2006">
          <mc:Choice Requires="x14">
            <control shapeId="1026" r:id="rId131" name="Button 2">
              <controlPr defaultSize="0" print="0" autoFill="0" autoPict="0" macro="[0]!UpdateAllImages">
                <anchor moveWithCells="1" sizeWithCells="1">
                  <from>
                    <xdr:col>20</xdr:col>
                    <xdr:colOff>38100</xdr:colOff>
                    <xdr:row>2</xdr:row>
                    <xdr:rowOff>657225</xdr:rowOff>
                  </from>
                  <to>
                    <xdr:col>22</xdr:col>
                    <xdr:colOff>304800</xdr:colOff>
                    <xdr:row>2</xdr:row>
                    <xdr:rowOff>1114425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406C7-28DA-4AB6-91E9-5792997454BE}">
  <dimension ref="A1:M222"/>
  <sheetViews>
    <sheetView topLeftCell="A156" zoomScale="70" zoomScaleNormal="70" workbookViewId="0">
      <selection activeCell="A178" sqref="A178"/>
    </sheetView>
  </sheetViews>
  <sheetFormatPr defaultRowHeight="15" x14ac:dyDescent="0.25"/>
  <cols>
    <col min="1" max="1" width="13.140625" customWidth="1"/>
    <col min="3" max="3" width="11.28515625" customWidth="1"/>
    <col min="4" max="4" width="23.7109375" customWidth="1"/>
    <col min="5" max="5" width="25.28515625" customWidth="1"/>
    <col min="6" max="6" width="35.7109375" customWidth="1"/>
    <col min="7" max="7" width="22.5703125" customWidth="1"/>
    <col min="8" max="8" width="15.85546875" customWidth="1"/>
    <col min="9" max="9" width="21.42578125" customWidth="1"/>
    <col min="10" max="10" width="23.7109375" customWidth="1"/>
    <col min="11" max="11" width="21.42578125" customWidth="1"/>
    <col min="12" max="12" width="20.7109375" customWidth="1"/>
  </cols>
  <sheetData>
    <row r="1" spans="1:13" x14ac:dyDescent="0.25">
      <c r="A1" t="s">
        <v>0</v>
      </c>
      <c r="B1" t="s">
        <v>29</v>
      </c>
      <c r="C1" t="s">
        <v>30</v>
      </c>
      <c r="D1" t="s">
        <v>31</v>
      </c>
      <c r="E1" t="s">
        <v>32</v>
      </c>
      <c r="F1" t="s">
        <v>2</v>
      </c>
      <c r="G1" t="s">
        <v>33</v>
      </c>
      <c r="H1" t="s">
        <v>34</v>
      </c>
      <c r="I1" t="s">
        <v>35</v>
      </c>
      <c r="J1" t="s">
        <v>36</v>
      </c>
      <c r="K1" t="s">
        <v>37</v>
      </c>
      <c r="L1" t="s">
        <v>38</v>
      </c>
    </row>
    <row r="2" spans="1:13" x14ac:dyDescent="0.25">
      <c r="A2" t="s">
        <v>695</v>
      </c>
      <c r="B2">
        <v>1743</v>
      </c>
      <c r="C2" t="s">
        <v>696</v>
      </c>
      <c r="D2" t="s">
        <v>697</v>
      </c>
      <c r="E2" t="s">
        <v>376</v>
      </c>
      <c r="F2" t="s">
        <v>698</v>
      </c>
      <c r="G2" t="s">
        <v>699</v>
      </c>
      <c r="H2" t="s">
        <v>700</v>
      </c>
      <c r="I2" t="s">
        <v>468</v>
      </c>
      <c r="J2" t="s">
        <v>429</v>
      </c>
      <c r="M2" t="str">
        <f>MID(A2,6,5)</f>
        <v>Держа</v>
      </c>
    </row>
    <row r="3" spans="1:13" x14ac:dyDescent="0.25">
      <c r="A3" t="s">
        <v>695</v>
      </c>
      <c r="B3">
        <v>1759</v>
      </c>
      <c r="E3" t="s">
        <v>701</v>
      </c>
      <c r="F3" t="s">
        <v>702</v>
      </c>
      <c r="G3" t="s">
        <v>703</v>
      </c>
    </row>
    <row r="4" spans="1:13" x14ac:dyDescent="0.25">
      <c r="A4" t="s">
        <v>695</v>
      </c>
      <c r="B4">
        <v>1762</v>
      </c>
      <c r="E4" t="s">
        <v>704</v>
      </c>
      <c r="F4" t="s">
        <v>705</v>
      </c>
      <c r="G4" t="s">
        <v>706</v>
      </c>
    </row>
    <row r="5" spans="1:13" x14ac:dyDescent="0.25">
      <c r="A5" t="s">
        <v>215</v>
      </c>
      <c r="B5">
        <v>1766</v>
      </c>
      <c r="C5" t="s">
        <v>845</v>
      </c>
      <c r="D5" t="s">
        <v>846</v>
      </c>
      <c r="E5" t="s">
        <v>376</v>
      </c>
      <c r="F5" t="s">
        <v>847</v>
      </c>
      <c r="G5" t="s">
        <v>848</v>
      </c>
      <c r="H5" t="s">
        <v>849</v>
      </c>
      <c r="I5" t="s">
        <v>428</v>
      </c>
      <c r="J5" t="s">
        <v>429</v>
      </c>
    </row>
    <row r="6" spans="1:13" x14ac:dyDescent="0.25">
      <c r="A6" t="s">
        <v>695</v>
      </c>
      <c r="B6">
        <v>1773</v>
      </c>
      <c r="E6" t="s">
        <v>707</v>
      </c>
      <c r="F6" t="s">
        <v>708</v>
      </c>
      <c r="G6" t="s">
        <v>709</v>
      </c>
    </row>
    <row r="7" spans="1:13" x14ac:dyDescent="0.25">
      <c r="A7" t="s">
        <v>215</v>
      </c>
      <c r="B7">
        <v>1778</v>
      </c>
      <c r="E7" t="s">
        <v>791</v>
      </c>
      <c r="F7" t="s">
        <v>850</v>
      </c>
      <c r="G7" t="s">
        <v>851</v>
      </c>
    </row>
    <row r="8" spans="1:13" x14ac:dyDescent="0.25">
      <c r="A8" t="s">
        <v>695</v>
      </c>
      <c r="B8">
        <v>1782</v>
      </c>
      <c r="E8" t="s">
        <v>710</v>
      </c>
      <c r="F8" t="s">
        <v>711</v>
      </c>
      <c r="G8" t="s">
        <v>712</v>
      </c>
      <c r="H8" t="s">
        <v>713</v>
      </c>
    </row>
    <row r="9" spans="1:13" x14ac:dyDescent="0.25">
      <c r="A9" t="s">
        <v>44</v>
      </c>
      <c r="B9">
        <v>1783</v>
      </c>
      <c r="C9" t="s">
        <v>785</v>
      </c>
      <c r="D9" t="s">
        <v>786</v>
      </c>
      <c r="E9" t="s">
        <v>376</v>
      </c>
      <c r="F9" t="s">
        <v>787</v>
      </c>
      <c r="G9" t="s">
        <v>788</v>
      </c>
      <c r="H9" t="s">
        <v>789</v>
      </c>
      <c r="I9" t="s">
        <v>790</v>
      </c>
    </row>
    <row r="10" spans="1:13" x14ac:dyDescent="0.25">
      <c r="A10" t="s">
        <v>695</v>
      </c>
      <c r="B10">
        <v>1786</v>
      </c>
      <c r="E10" t="s">
        <v>714</v>
      </c>
      <c r="F10" t="s">
        <v>715</v>
      </c>
      <c r="G10" t="s">
        <v>716</v>
      </c>
    </row>
    <row r="11" spans="1:13" x14ac:dyDescent="0.25">
      <c r="A11" t="s">
        <v>215</v>
      </c>
      <c r="B11">
        <v>1789</v>
      </c>
      <c r="E11" t="s">
        <v>852</v>
      </c>
      <c r="F11" t="s">
        <v>853</v>
      </c>
      <c r="G11" t="s">
        <v>854</v>
      </c>
    </row>
    <row r="12" spans="1:13" x14ac:dyDescent="0.25">
      <c r="A12" t="s">
        <v>695</v>
      </c>
      <c r="B12">
        <v>1791</v>
      </c>
      <c r="E12" t="s">
        <v>717</v>
      </c>
      <c r="F12" t="s">
        <v>718</v>
      </c>
      <c r="G12" t="s">
        <v>719</v>
      </c>
    </row>
    <row r="13" spans="1:13" x14ac:dyDescent="0.25">
      <c r="A13" t="s">
        <v>215</v>
      </c>
      <c r="B13">
        <v>1791</v>
      </c>
      <c r="E13" t="s">
        <v>855</v>
      </c>
      <c r="F13" t="s">
        <v>856</v>
      </c>
      <c r="G13" t="s">
        <v>857</v>
      </c>
    </row>
    <row r="14" spans="1:13" x14ac:dyDescent="0.25">
      <c r="A14" t="s">
        <v>215</v>
      </c>
      <c r="B14">
        <v>1792</v>
      </c>
      <c r="E14" t="s">
        <v>858</v>
      </c>
      <c r="F14" t="s">
        <v>859</v>
      </c>
      <c r="G14" t="s">
        <v>860</v>
      </c>
    </row>
    <row r="15" spans="1:13" x14ac:dyDescent="0.25">
      <c r="A15" t="s">
        <v>44</v>
      </c>
      <c r="B15">
        <v>1797</v>
      </c>
      <c r="E15" t="s">
        <v>791</v>
      </c>
      <c r="F15" t="s">
        <v>792</v>
      </c>
      <c r="G15" t="s">
        <v>793</v>
      </c>
    </row>
    <row r="16" spans="1:13" x14ac:dyDescent="0.25">
      <c r="A16" t="s">
        <v>21</v>
      </c>
      <c r="B16">
        <v>1799</v>
      </c>
      <c r="C16" t="s">
        <v>1038</v>
      </c>
      <c r="D16" t="s">
        <v>400</v>
      </c>
      <c r="E16" t="s">
        <v>376</v>
      </c>
      <c r="F16" t="s">
        <v>875</v>
      </c>
      <c r="G16" t="s">
        <v>1039</v>
      </c>
      <c r="H16" t="s">
        <v>1040</v>
      </c>
      <c r="I16" t="s">
        <v>428</v>
      </c>
      <c r="J16" t="s">
        <v>429</v>
      </c>
    </row>
    <row r="17" spans="1:10" x14ac:dyDescent="0.25">
      <c r="A17" t="s">
        <v>695</v>
      </c>
      <c r="B17">
        <v>1802</v>
      </c>
      <c r="E17" t="s">
        <v>720</v>
      </c>
      <c r="F17" t="s">
        <v>721</v>
      </c>
      <c r="G17" t="s">
        <v>722</v>
      </c>
    </row>
    <row r="18" spans="1:10" x14ac:dyDescent="0.25">
      <c r="A18" t="s">
        <v>44</v>
      </c>
      <c r="B18">
        <v>1802</v>
      </c>
      <c r="E18" t="s">
        <v>794</v>
      </c>
      <c r="F18" t="s">
        <v>795</v>
      </c>
      <c r="G18" t="s">
        <v>796</v>
      </c>
    </row>
    <row r="19" spans="1:10" x14ac:dyDescent="0.25">
      <c r="A19" t="s">
        <v>215</v>
      </c>
      <c r="B19">
        <v>1803</v>
      </c>
      <c r="E19" t="s">
        <v>861</v>
      </c>
      <c r="F19" t="s">
        <v>862</v>
      </c>
      <c r="G19" t="s">
        <v>863</v>
      </c>
      <c r="H19" t="s">
        <v>864</v>
      </c>
    </row>
    <row r="20" spans="1:10" x14ac:dyDescent="0.25">
      <c r="A20" t="s">
        <v>221</v>
      </c>
      <c r="B20">
        <v>1803</v>
      </c>
      <c r="C20" t="s">
        <v>1108</v>
      </c>
      <c r="D20" t="s">
        <v>1109</v>
      </c>
      <c r="E20" t="s">
        <v>376</v>
      </c>
      <c r="F20" t="s">
        <v>1110</v>
      </c>
      <c r="G20" t="s">
        <v>1111</v>
      </c>
      <c r="H20" t="s">
        <v>1112</v>
      </c>
    </row>
    <row r="21" spans="1:10" x14ac:dyDescent="0.25">
      <c r="A21" t="s">
        <v>44</v>
      </c>
      <c r="B21">
        <v>1808</v>
      </c>
      <c r="E21" t="s">
        <v>797</v>
      </c>
      <c r="F21" t="s">
        <v>798</v>
      </c>
      <c r="G21" t="s">
        <v>799</v>
      </c>
    </row>
    <row r="22" spans="1:10" x14ac:dyDescent="0.25">
      <c r="A22" t="s">
        <v>150</v>
      </c>
      <c r="B22">
        <v>1809</v>
      </c>
      <c r="C22" t="s">
        <v>553</v>
      </c>
      <c r="D22" t="s">
        <v>554</v>
      </c>
      <c r="E22" t="s">
        <v>376</v>
      </c>
      <c r="F22" t="s">
        <v>555</v>
      </c>
      <c r="G22" t="s">
        <v>556</v>
      </c>
      <c r="H22" t="s">
        <v>557</v>
      </c>
      <c r="I22" t="s">
        <v>428</v>
      </c>
      <c r="J22" t="s">
        <v>429</v>
      </c>
    </row>
    <row r="23" spans="1:10" x14ac:dyDescent="0.25">
      <c r="A23" t="s">
        <v>21</v>
      </c>
      <c r="B23">
        <v>1811</v>
      </c>
      <c r="E23" t="s">
        <v>1041</v>
      </c>
      <c r="F23" t="s">
        <v>1042</v>
      </c>
      <c r="G23" t="s">
        <v>1043</v>
      </c>
      <c r="I23" t="s">
        <v>1044</v>
      </c>
      <c r="J23" t="s">
        <v>1045</v>
      </c>
    </row>
    <row r="24" spans="1:10" x14ac:dyDescent="0.25">
      <c r="A24" t="s">
        <v>44</v>
      </c>
      <c r="B24">
        <v>1812</v>
      </c>
      <c r="E24" t="s">
        <v>800</v>
      </c>
      <c r="F24" t="s">
        <v>801</v>
      </c>
      <c r="G24" t="s">
        <v>802</v>
      </c>
    </row>
    <row r="25" spans="1:10" x14ac:dyDescent="0.25">
      <c r="A25" t="s">
        <v>873</v>
      </c>
      <c r="B25">
        <v>1814</v>
      </c>
      <c r="C25" t="s">
        <v>874</v>
      </c>
      <c r="D25" t="s">
        <v>400</v>
      </c>
      <c r="E25" t="s">
        <v>376</v>
      </c>
      <c r="F25" t="s">
        <v>875</v>
      </c>
      <c r="G25" t="s">
        <v>876</v>
      </c>
      <c r="H25" t="s">
        <v>877</v>
      </c>
      <c r="I25" t="s">
        <v>428</v>
      </c>
      <c r="J25" t="s">
        <v>429</v>
      </c>
    </row>
    <row r="26" spans="1:10" x14ac:dyDescent="0.25">
      <c r="A26" t="s">
        <v>21</v>
      </c>
      <c r="B26">
        <v>1814</v>
      </c>
      <c r="E26" t="s">
        <v>663</v>
      </c>
      <c r="F26" t="s">
        <v>1046</v>
      </c>
      <c r="G26" t="s">
        <v>1047</v>
      </c>
    </row>
    <row r="27" spans="1:10" x14ac:dyDescent="0.25">
      <c r="A27" t="s">
        <v>44</v>
      </c>
      <c r="B27">
        <v>1815</v>
      </c>
      <c r="E27" t="s">
        <v>803</v>
      </c>
      <c r="F27" t="s">
        <v>804</v>
      </c>
      <c r="G27" t="s">
        <v>805</v>
      </c>
    </row>
    <row r="28" spans="1:10" x14ac:dyDescent="0.25">
      <c r="A28" t="s">
        <v>695</v>
      </c>
      <c r="B28">
        <v>1816</v>
      </c>
      <c r="C28" t="s">
        <v>723</v>
      </c>
      <c r="D28" t="s">
        <v>724</v>
      </c>
      <c r="E28" t="s">
        <v>418</v>
      </c>
      <c r="F28" t="s">
        <v>725</v>
      </c>
      <c r="G28" t="s">
        <v>726</v>
      </c>
    </row>
    <row r="29" spans="1:10" x14ac:dyDescent="0.25">
      <c r="A29" t="s">
        <v>44</v>
      </c>
      <c r="B29">
        <v>1817</v>
      </c>
      <c r="E29" t="s">
        <v>806</v>
      </c>
      <c r="F29" t="s">
        <v>807</v>
      </c>
      <c r="G29" t="s">
        <v>808</v>
      </c>
    </row>
    <row r="30" spans="1:10" x14ac:dyDescent="0.25">
      <c r="A30" t="s">
        <v>21</v>
      </c>
      <c r="B30">
        <v>1817</v>
      </c>
      <c r="E30" t="s">
        <v>1048</v>
      </c>
      <c r="F30" t="s">
        <v>1049</v>
      </c>
      <c r="G30" t="s">
        <v>1050</v>
      </c>
    </row>
    <row r="31" spans="1:10" x14ac:dyDescent="0.25">
      <c r="A31" t="s">
        <v>221</v>
      </c>
      <c r="B31">
        <v>1817</v>
      </c>
      <c r="E31" t="s">
        <v>1113</v>
      </c>
      <c r="F31" t="s">
        <v>1114</v>
      </c>
      <c r="G31" t="s">
        <v>1115</v>
      </c>
    </row>
    <row r="32" spans="1:10" x14ac:dyDescent="0.25">
      <c r="A32" t="s">
        <v>215</v>
      </c>
      <c r="B32">
        <v>1818</v>
      </c>
      <c r="E32" t="s">
        <v>865</v>
      </c>
      <c r="F32" t="s">
        <v>866</v>
      </c>
      <c r="G32" t="s">
        <v>867</v>
      </c>
      <c r="H32" t="s">
        <v>864</v>
      </c>
      <c r="I32" t="s">
        <v>868</v>
      </c>
      <c r="J32" t="s">
        <v>869</v>
      </c>
    </row>
    <row r="33" spans="1:10" x14ac:dyDescent="0.25">
      <c r="A33" t="s">
        <v>224</v>
      </c>
      <c r="B33">
        <v>1818</v>
      </c>
      <c r="C33" t="s">
        <v>1073</v>
      </c>
      <c r="D33" t="s">
        <v>1074</v>
      </c>
      <c r="E33" t="s">
        <v>376</v>
      </c>
      <c r="F33" t="s">
        <v>1075</v>
      </c>
      <c r="G33" t="s">
        <v>1076</v>
      </c>
      <c r="H33" t="s">
        <v>1077</v>
      </c>
      <c r="I33" t="s">
        <v>428</v>
      </c>
      <c r="J33" t="s">
        <v>429</v>
      </c>
    </row>
    <row r="34" spans="1:10" x14ac:dyDescent="0.25">
      <c r="A34" t="s">
        <v>21</v>
      </c>
      <c r="B34">
        <v>1820</v>
      </c>
      <c r="E34" t="s">
        <v>1051</v>
      </c>
      <c r="F34" t="s">
        <v>1052</v>
      </c>
      <c r="G34" t="s">
        <v>1053</v>
      </c>
    </row>
    <row r="35" spans="1:10" x14ac:dyDescent="0.25">
      <c r="A35" t="s">
        <v>21</v>
      </c>
      <c r="B35">
        <v>1820</v>
      </c>
      <c r="E35" t="s">
        <v>1054</v>
      </c>
      <c r="F35" t="s">
        <v>1055</v>
      </c>
      <c r="G35" t="s">
        <v>1056</v>
      </c>
    </row>
    <row r="36" spans="1:10" x14ac:dyDescent="0.25">
      <c r="A36" t="s">
        <v>150</v>
      </c>
      <c r="B36">
        <v>1821</v>
      </c>
      <c r="E36" t="s">
        <v>558</v>
      </c>
      <c r="F36" t="s">
        <v>559</v>
      </c>
      <c r="G36" t="s">
        <v>560</v>
      </c>
      <c r="I36" t="s">
        <v>561</v>
      </c>
      <c r="J36" t="s">
        <v>562</v>
      </c>
    </row>
    <row r="37" spans="1:10" x14ac:dyDescent="0.25">
      <c r="A37" t="s">
        <v>88</v>
      </c>
      <c r="B37">
        <v>1821</v>
      </c>
      <c r="C37" t="s">
        <v>727</v>
      </c>
      <c r="D37" t="s">
        <v>400</v>
      </c>
      <c r="E37" t="s">
        <v>376</v>
      </c>
      <c r="F37" t="s">
        <v>728</v>
      </c>
      <c r="G37" t="s">
        <v>729</v>
      </c>
      <c r="H37" t="s">
        <v>730</v>
      </c>
      <c r="I37" t="s">
        <v>428</v>
      </c>
      <c r="J37" t="s">
        <v>429</v>
      </c>
    </row>
    <row r="38" spans="1:10" x14ac:dyDescent="0.25">
      <c r="A38" t="s">
        <v>229</v>
      </c>
      <c r="B38">
        <v>1821</v>
      </c>
      <c r="C38" t="s">
        <v>1008</v>
      </c>
      <c r="D38" t="s">
        <v>1009</v>
      </c>
      <c r="E38" t="s">
        <v>376</v>
      </c>
      <c r="F38" t="s">
        <v>1010</v>
      </c>
      <c r="G38" t="s">
        <v>1011</v>
      </c>
      <c r="H38" t="s">
        <v>1012</v>
      </c>
      <c r="I38" t="s">
        <v>428</v>
      </c>
      <c r="J38" t="s">
        <v>429</v>
      </c>
    </row>
    <row r="39" spans="1:10" x14ac:dyDescent="0.25">
      <c r="A39" t="s">
        <v>221</v>
      </c>
      <c r="B39">
        <v>1821</v>
      </c>
      <c r="E39" t="s">
        <v>1116</v>
      </c>
      <c r="F39" t="s">
        <v>1117</v>
      </c>
      <c r="G39" t="s">
        <v>1118</v>
      </c>
    </row>
    <row r="40" spans="1:10" x14ac:dyDescent="0.25">
      <c r="A40" t="s">
        <v>44</v>
      </c>
      <c r="B40">
        <v>1826</v>
      </c>
      <c r="E40" t="s">
        <v>809</v>
      </c>
      <c r="F40" t="s">
        <v>810</v>
      </c>
      <c r="G40" t="s">
        <v>811</v>
      </c>
      <c r="H40" t="s">
        <v>812</v>
      </c>
    </row>
    <row r="41" spans="1:10" x14ac:dyDescent="0.25">
      <c r="A41" t="s">
        <v>215</v>
      </c>
      <c r="B41">
        <v>1826</v>
      </c>
      <c r="C41" t="s">
        <v>870</v>
      </c>
      <c r="D41" t="s">
        <v>492</v>
      </c>
      <c r="E41" t="s">
        <v>418</v>
      </c>
      <c r="F41" t="s">
        <v>871</v>
      </c>
      <c r="G41" t="s">
        <v>872</v>
      </c>
    </row>
    <row r="42" spans="1:10" x14ac:dyDescent="0.25">
      <c r="A42" t="s">
        <v>21</v>
      </c>
      <c r="B42">
        <v>1826</v>
      </c>
      <c r="E42" t="s">
        <v>1057</v>
      </c>
      <c r="F42" t="s">
        <v>1058</v>
      </c>
      <c r="G42" t="s">
        <v>1059</v>
      </c>
      <c r="H42" t="s">
        <v>1060</v>
      </c>
    </row>
    <row r="43" spans="1:10" x14ac:dyDescent="0.25">
      <c r="A43" t="s">
        <v>221</v>
      </c>
      <c r="B43">
        <v>1826</v>
      </c>
      <c r="E43" t="s">
        <v>1119</v>
      </c>
      <c r="F43" t="s">
        <v>1120</v>
      </c>
      <c r="G43" t="s">
        <v>1121</v>
      </c>
    </row>
    <row r="44" spans="1:10" x14ac:dyDescent="0.25">
      <c r="A44" t="s">
        <v>224</v>
      </c>
      <c r="B44">
        <v>1827</v>
      </c>
      <c r="E44" t="s">
        <v>1078</v>
      </c>
      <c r="F44" t="s">
        <v>1079</v>
      </c>
      <c r="G44" t="s">
        <v>1080</v>
      </c>
    </row>
    <row r="45" spans="1:10" x14ac:dyDescent="0.25">
      <c r="A45" t="s">
        <v>150</v>
      </c>
      <c r="B45">
        <v>1828</v>
      </c>
      <c r="E45" t="s">
        <v>563</v>
      </c>
      <c r="F45" t="s">
        <v>564</v>
      </c>
      <c r="G45" t="s">
        <v>565</v>
      </c>
    </row>
    <row r="46" spans="1:10" x14ac:dyDescent="0.25">
      <c r="A46" t="s">
        <v>873</v>
      </c>
      <c r="B46">
        <v>1828</v>
      </c>
      <c r="E46" t="s">
        <v>878</v>
      </c>
      <c r="F46" t="s">
        <v>879</v>
      </c>
      <c r="G46" t="s">
        <v>880</v>
      </c>
    </row>
    <row r="47" spans="1:10" x14ac:dyDescent="0.25">
      <c r="A47" t="s">
        <v>150</v>
      </c>
      <c r="B47">
        <v>1829</v>
      </c>
      <c r="E47" t="s">
        <v>566</v>
      </c>
      <c r="F47" t="s">
        <v>567</v>
      </c>
      <c r="G47" t="s">
        <v>568</v>
      </c>
    </row>
    <row r="48" spans="1:10" x14ac:dyDescent="0.25">
      <c r="A48" t="s">
        <v>873</v>
      </c>
      <c r="B48">
        <v>1830</v>
      </c>
      <c r="E48" t="s">
        <v>382</v>
      </c>
      <c r="F48" t="s">
        <v>881</v>
      </c>
      <c r="G48" t="s">
        <v>882</v>
      </c>
    </row>
    <row r="49" spans="1:10" x14ac:dyDescent="0.25">
      <c r="A49" t="s">
        <v>150</v>
      </c>
      <c r="B49">
        <v>1831</v>
      </c>
      <c r="E49" t="s">
        <v>569</v>
      </c>
      <c r="F49" t="s">
        <v>570</v>
      </c>
      <c r="G49" t="s">
        <v>571</v>
      </c>
    </row>
    <row r="50" spans="1:10" x14ac:dyDescent="0.25">
      <c r="A50" t="s">
        <v>230</v>
      </c>
      <c r="B50">
        <v>1831</v>
      </c>
      <c r="C50" t="s">
        <v>903</v>
      </c>
      <c r="D50" t="s">
        <v>904</v>
      </c>
      <c r="E50" t="s">
        <v>376</v>
      </c>
      <c r="F50" t="s">
        <v>905</v>
      </c>
      <c r="G50" t="s">
        <v>906</v>
      </c>
      <c r="H50" t="s">
        <v>907</v>
      </c>
      <c r="I50" t="s">
        <v>428</v>
      </c>
      <c r="J50" t="s">
        <v>429</v>
      </c>
    </row>
    <row r="51" spans="1:10" x14ac:dyDescent="0.25">
      <c r="A51" t="s">
        <v>21</v>
      </c>
      <c r="B51">
        <v>1831</v>
      </c>
      <c r="C51" t="s">
        <v>1061</v>
      </c>
      <c r="D51" t="s">
        <v>400</v>
      </c>
      <c r="E51" t="s">
        <v>1062</v>
      </c>
      <c r="F51" t="s">
        <v>1063</v>
      </c>
      <c r="G51" t="s">
        <v>1064</v>
      </c>
    </row>
    <row r="52" spans="1:10" x14ac:dyDescent="0.25">
      <c r="A52" t="s">
        <v>873</v>
      </c>
      <c r="B52">
        <v>1832</v>
      </c>
      <c r="E52" t="s">
        <v>883</v>
      </c>
      <c r="F52" t="s">
        <v>884</v>
      </c>
      <c r="G52" t="s">
        <v>885</v>
      </c>
    </row>
    <row r="53" spans="1:10" x14ac:dyDescent="0.25">
      <c r="A53" t="s">
        <v>229</v>
      </c>
      <c r="B53">
        <v>1832</v>
      </c>
      <c r="E53" t="s">
        <v>433</v>
      </c>
      <c r="F53" t="s">
        <v>1013</v>
      </c>
      <c r="G53" t="s">
        <v>1014</v>
      </c>
    </row>
    <row r="54" spans="1:10" x14ac:dyDescent="0.25">
      <c r="A54" t="s">
        <v>224</v>
      </c>
      <c r="B54">
        <v>1833</v>
      </c>
      <c r="E54" t="s">
        <v>1081</v>
      </c>
      <c r="F54" t="s">
        <v>1082</v>
      </c>
      <c r="G54" t="s">
        <v>1083</v>
      </c>
    </row>
    <row r="55" spans="1:10" x14ac:dyDescent="0.25">
      <c r="A55" t="s">
        <v>150</v>
      </c>
      <c r="B55">
        <v>1835</v>
      </c>
      <c r="E55" t="s">
        <v>572</v>
      </c>
      <c r="F55" t="s">
        <v>573</v>
      </c>
      <c r="G55" t="s">
        <v>574</v>
      </c>
    </row>
    <row r="56" spans="1:10" x14ac:dyDescent="0.25">
      <c r="A56" t="s">
        <v>150</v>
      </c>
      <c r="B56">
        <v>1836</v>
      </c>
      <c r="E56" t="s">
        <v>575</v>
      </c>
      <c r="F56" t="s">
        <v>576</v>
      </c>
      <c r="G56" t="s">
        <v>577</v>
      </c>
    </row>
    <row r="57" spans="1:10" x14ac:dyDescent="0.25">
      <c r="A57" t="s">
        <v>21</v>
      </c>
      <c r="B57">
        <v>1836</v>
      </c>
      <c r="E57" t="s">
        <v>1065</v>
      </c>
      <c r="F57" t="s">
        <v>1066</v>
      </c>
      <c r="G57" t="s">
        <v>1067</v>
      </c>
      <c r="I57" t="s">
        <v>1024</v>
      </c>
      <c r="J57" t="s">
        <v>1025</v>
      </c>
    </row>
    <row r="58" spans="1:10" x14ac:dyDescent="0.25">
      <c r="A58" t="s">
        <v>221</v>
      </c>
      <c r="B58">
        <v>1836</v>
      </c>
      <c r="E58" t="s">
        <v>1122</v>
      </c>
      <c r="F58" t="s">
        <v>1123</v>
      </c>
      <c r="G58" t="s">
        <v>1124</v>
      </c>
      <c r="H58" t="s">
        <v>21</v>
      </c>
      <c r="I58" t="s">
        <v>1024</v>
      </c>
      <c r="J58" t="s">
        <v>1025</v>
      </c>
    </row>
    <row r="59" spans="1:10" x14ac:dyDescent="0.25">
      <c r="A59" t="s">
        <v>873</v>
      </c>
      <c r="B59">
        <v>1837</v>
      </c>
      <c r="E59" t="s">
        <v>886</v>
      </c>
      <c r="F59" t="s">
        <v>887</v>
      </c>
      <c r="G59" t="s">
        <v>888</v>
      </c>
      <c r="H59" t="s">
        <v>21</v>
      </c>
    </row>
    <row r="60" spans="1:10" x14ac:dyDescent="0.25">
      <c r="A60" t="s">
        <v>873</v>
      </c>
      <c r="B60">
        <v>1837</v>
      </c>
      <c r="E60" t="s">
        <v>889</v>
      </c>
      <c r="F60" t="s">
        <v>890</v>
      </c>
      <c r="G60" t="s">
        <v>891</v>
      </c>
    </row>
    <row r="61" spans="1:10" x14ac:dyDescent="0.25">
      <c r="A61" t="s">
        <v>21</v>
      </c>
      <c r="B61">
        <v>1837</v>
      </c>
      <c r="C61" t="s">
        <v>1068</v>
      </c>
      <c r="D61" t="s">
        <v>492</v>
      </c>
      <c r="E61" t="s">
        <v>1069</v>
      </c>
      <c r="F61" t="s">
        <v>1070</v>
      </c>
      <c r="G61" t="s">
        <v>1071</v>
      </c>
      <c r="H61" t="s">
        <v>1072</v>
      </c>
    </row>
    <row r="62" spans="1:10" x14ac:dyDescent="0.25">
      <c r="A62" t="s">
        <v>88</v>
      </c>
      <c r="B62">
        <v>1838</v>
      </c>
      <c r="E62" t="s">
        <v>731</v>
      </c>
      <c r="F62" t="s">
        <v>732</v>
      </c>
      <c r="G62" t="s">
        <v>733</v>
      </c>
    </row>
    <row r="63" spans="1:10" x14ac:dyDescent="0.25">
      <c r="A63" t="s">
        <v>229</v>
      </c>
      <c r="B63">
        <v>1838</v>
      </c>
      <c r="E63" t="s">
        <v>563</v>
      </c>
      <c r="F63" t="s">
        <v>1015</v>
      </c>
      <c r="G63" t="s">
        <v>1016</v>
      </c>
    </row>
    <row r="64" spans="1:10" x14ac:dyDescent="0.25">
      <c r="A64" t="s">
        <v>224</v>
      </c>
      <c r="B64">
        <v>1838</v>
      </c>
      <c r="E64" t="s">
        <v>1084</v>
      </c>
      <c r="F64" t="s">
        <v>1085</v>
      </c>
      <c r="G64" t="s">
        <v>1086</v>
      </c>
    </row>
    <row r="65" spans="1:10" x14ac:dyDescent="0.25">
      <c r="A65" t="s">
        <v>150</v>
      </c>
      <c r="B65">
        <v>1840</v>
      </c>
      <c r="E65" t="s">
        <v>581</v>
      </c>
      <c r="F65" t="s">
        <v>582</v>
      </c>
      <c r="G65" t="s">
        <v>583</v>
      </c>
    </row>
    <row r="66" spans="1:10" x14ac:dyDescent="0.25">
      <c r="A66" t="s">
        <v>873</v>
      </c>
      <c r="B66">
        <v>1840</v>
      </c>
      <c r="E66" t="s">
        <v>892</v>
      </c>
      <c r="F66" t="s">
        <v>893</v>
      </c>
      <c r="G66" t="s">
        <v>894</v>
      </c>
    </row>
    <row r="67" spans="1:10" x14ac:dyDescent="0.25">
      <c r="A67" t="s">
        <v>873</v>
      </c>
      <c r="B67">
        <v>1840</v>
      </c>
      <c r="E67" t="s">
        <v>895</v>
      </c>
      <c r="F67" t="s">
        <v>896</v>
      </c>
      <c r="G67" t="s">
        <v>897</v>
      </c>
    </row>
    <row r="68" spans="1:10" x14ac:dyDescent="0.25">
      <c r="A68" t="s">
        <v>230</v>
      </c>
      <c r="B68">
        <v>1840</v>
      </c>
      <c r="E68" t="s">
        <v>908</v>
      </c>
      <c r="F68" t="s">
        <v>909</v>
      </c>
      <c r="G68" t="s">
        <v>910</v>
      </c>
    </row>
    <row r="69" spans="1:10" x14ac:dyDescent="0.25">
      <c r="A69" t="s">
        <v>229</v>
      </c>
      <c r="B69">
        <v>1840</v>
      </c>
      <c r="E69" t="s">
        <v>1017</v>
      </c>
      <c r="F69" t="s">
        <v>1018</v>
      </c>
      <c r="G69" t="s">
        <v>1019</v>
      </c>
    </row>
    <row r="70" spans="1:10" x14ac:dyDescent="0.25">
      <c r="A70" t="s">
        <v>44</v>
      </c>
      <c r="B70">
        <v>1841</v>
      </c>
      <c r="E70" t="s">
        <v>813</v>
      </c>
      <c r="F70" t="s">
        <v>814</v>
      </c>
      <c r="G70" t="s">
        <v>815</v>
      </c>
    </row>
    <row r="71" spans="1:10" x14ac:dyDescent="0.25">
      <c r="A71" t="s">
        <v>873</v>
      </c>
      <c r="B71">
        <v>1841</v>
      </c>
      <c r="C71" t="s">
        <v>898</v>
      </c>
      <c r="D71" t="s">
        <v>899</v>
      </c>
      <c r="E71" t="s">
        <v>900</v>
      </c>
      <c r="F71" t="s">
        <v>901</v>
      </c>
      <c r="G71" t="s">
        <v>902</v>
      </c>
    </row>
    <row r="72" spans="1:10" x14ac:dyDescent="0.25">
      <c r="A72" t="s">
        <v>150</v>
      </c>
      <c r="B72">
        <v>1842</v>
      </c>
      <c r="E72" t="s">
        <v>578</v>
      </c>
      <c r="F72" t="s">
        <v>579</v>
      </c>
      <c r="G72" t="s">
        <v>580</v>
      </c>
    </row>
    <row r="73" spans="1:10" x14ac:dyDescent="0.25">
      <c r="A73" t="s">
        <v>224</v>
      </c>
      <c r="B73">
        <v>1843</v>
      </c>
      <c r="E73" t="s">
        <v>1087</v>
      </c>
      <c r="F73" t="s">
        <v>1088</v>
      </c>
      <c r="G73" t="s">
        <v>1089</v>
      </c>
      <c r="H73" t="s">
        <v>1090</v>
      </c>
    </row>
    <row r="74" spans="1:10" x14ac:dyDescent="0.25">
      <c r="A74" t="s">
        <v>88</v>
      </c>
      <c r="B74">
        <v>1844</v>
      </c>
      <c r="E74" t="s">
        <v>481</v>
      </c>
      <c r="F74" t="s">
        <v>734</v>
      </c>
      <c r="G74" t="s">
        <v>735</v>
      </c>
    </row>
    <row r="75" spans="1:10" x14ac:dyDescent="0.25">
      <c r="A75" t="s">
        <v>221</v>
      </c>
      <c r="B75">
        <v>1844</v>
      </c>
      <c r="E75" t="s">
        <v>1125</v>
      </c>
      <c r="F75" t="s">
        <v>1126</v>
      </c>
      <c r="G75" t="s">
        <v>1127</v>
      </c>
    </row>
    <row r="76" spans="1:10" x14ac:dyDescent="0.25">
      <c r="A76" t="s">
        <v>88</v>
      </c>
      <c r="B76">
        <v>1846</v>
      </c>
      <c r="E76" t="s">
        <v>736</v>
      </c>
      <c r="F76" t="s">
        <v>737</v>
      </c>
      <c r="G76" t="s">
        <v>738</v>
      </c>
      <c r="H76" t="s">
        <v>739</v>
      </c>
    </row>
    <row r="77" spans="1:10" x14ac:dyDescent="0.25">
      <c r="A77" t="s">
        <v>230</v>
      </c>
      <c r="B77">
        <v>1847</v>
      </c>
      <c r="E77" t="s">
        <v>911</v>
      </c>
      <c r="F77" t="s">
        <v>912</v>
      </c>
      <c r="G77" t="s">
        <v>913</v>
      </c>
    </row>
    <row r="78" spans="1:10" x14ac:dyDescent="0.25">
      <c r="A78" t="s">
        <v>229</v>
      </c>
      <c r="B78">
        <v>1847</v>
      </c>
      <c r="E78" t="s">
        <v>1020</v>
      </c>
      <c r="F78" t="s">
        <v>1021</v>
      </c>
      <c r="G78" t="s">
        <v>1022</v>
      </c>
      <c r="H78" t="s">
        <v>1023</v>
      </c>
      <c r="I78" t="s">
        <v>1024</v>
      </c>
      <c r="J78" t="s">
        <v>1025</v>
      </c>
    </row>
    <row r="79" spans="1:10" x14ac:dyDescent="0.25">
      <c r="A79" t="s">
        <v>224</v>
      </c>
      <c r="B79">
        <v>1847</v>
      </c>
      <c r="E79" t="s">
        <v>1091</v>
      </c>
      <c r="F79" t="s">
        <v>1092</v>
      </c>
      <c r="G79" t="s">
        <v>1093</v>
      </c>
      <c r="H79" t="s">
        <v>1094</v>
      </c>
      <c r="I79" t="s">
        <v>1024</v>
      </c>
      <c r="J79" t="s">
        <v>1025</v>
      </c>
    </row>
    <row r="80" spans="1:10" x14ac:dyDescent="0.25">
      <c r="A80" t="s">
        <v>88</v>
      </c>
      <c r="B80">
        <v>1849</v>
      </c>
      <c r="E80" t="s">
        <v>740</v>
      </c>
      <c r="F80" t="s">
        <v>741</v>
      </c>
      <c r="G80" t="s">
        <v>742</v>
      </c>
    </row>
    <row r="81" spans="1:10" x14ac:dyDescent="0.25">
      <c r="A81" t="s">
        <v>88</v>
      </c>
      <c r="B81">
        <v>1850</v>
      </c>
      <c r="E81" t="s">
        <v>743</v>
      </c>
      <c r="F81" t="s">
        <v>744</v>
      </c>
      <c r="G81" t="s">
        <v>745</v>
      </c>
    </row>
    <row r="82" spans="1:10" x14ac:dyDescent="0.25">
      <c r="A82" t="s">
        <v>230</v>
      </c>
      <c r="B82">
        <v>1850</v>
      </c>
      <c r="E82" t="s">
        <v>914</v>
      </c>
      <c r="F82" t="s">
        <v>915</v>
      </c>
      <c r="G82" t="s">
        <v>916</v>
      </c>
    </row>
    <row r="83" spans="1:10" x14ac:dyDescent="0.25">
      <c r="A83" t="s">
        <v>221</v>
      </c>
      <c r="B83">
        <v>1850</v>
      </c>
      <c r="E83" t="s">
        <v>1128</v>
      </c>
      <c r="F83" t="s">
        <v>1129</v>
      </c>
      <c r="G83" t="s">
        <v>1130</v>
      </c>
    </row>
    <row r="84" spans="1:10" x14ac:dyDescent="0.25">
      <c r="A84" t="s">
        <v>150</v>
      </c>
      <c r="B84">
        <v>1852</v>
      </c>
      <c r="C84" t="s">
        <v>584</v>
      </c>
      <c r="D84" t="s">
        <v>400</v>
      </c>
      <c r="E84" t="s">
        <v>418</v>
      </c>
      <c r="F84" t="s">
        <v>585</v>
      </c>
      <c r="G84" t="s">
        <v>586</v>
      </c>
      <c r="H84" t="s">
        <v>587</v>
      </c>
    </row>
    <row r="85" spans="1:10" x14ac:dyDescent="0.25">
      <c r="A85" t="s">
        <v>44</v>
      </c>
      <c r="B85">
        <v>1852</v>
      </c>
      <c r="C85" t="s">
        <v>816</v>
      </c>
      <c r="D85" t="s">
        <v>817</v>
      </c>
      <c r="E85" t="s">
        <v>418</v>
      </c>
      <c r="F85" t="s">
        <v>818</v>
      </c>
      <c r="G85" t="s">
        <v>819</v>
      </c>
    </row>
    <row r="86" spans="1:10" x14ac:dyDescent="0.25">
      <c r="A86" t="s">
        <v>239</v>
      </c>
      <c r="B86">
        <v>1852</v>
      </c>
      <c r="C86" t="s">
        <v>931</v>
      </c>
      <c r="D86" t="s">
        <v>932</v>
      </c>
      <c r="E86" t="s">
        <v>376</v>
      </c>
      <c r="F86" t="s">
        <v>933</v>
      </c>
      <c r="G86" t="s">
        <v>934</v>
      </c>
      <c r="H86" t="s">
        <v>935</v>
      </c>
      <c r="I86" t="s">
        <v>428</v>
      </c>
      <c r="J86" t="s">
        <v>429</v>
      </c>
    </row>
    <row r="87" spans="1:10" x14ac:dyDescent="0.25">
      <c r="A87" t="s">
        <v>224</v>
      </c>
      <c r="B87">
        <v>1852</v>
      </c>
      <c r="E87" t="s">
        <v>1095</v>
      </c>
      <c r="F87" t="s">
        <v>1096</v>
      </c>
      <c r="G87" t="s">
        <v>1097</v>
      </c>
    </row>
    <row r="88" spans="1:10" x14ac:dyDescent="0.25">
      <c r="A88" t="s">
        <v>239</v>
      </c>
      <c r="B88">
        <v>1860</v>
      </c>
      <c r="E88" t="s">
        <v>936</v>
      </c>
      <c r="F88" t="s">
        <v>937</v>
      </c>
      <c r="G88" t="s">
        <v>938</v>
      </c>
    </row>
    <row r="89" spans="1:10" x14ac:dyDescent="0.25">
      <c r="A89" t="s">
        <v>229</v>
      </c>
      <c r="B89">
        <v>1860</v>
      </c>
      <c r="E89" t="s">
        <v>1029</v>
      </c>
      <c r="F89" t="s">
        <v>1030</v>
      </c>
      <c r="G89" t="s">
        <v>1031</v>
      </c>
    </row>
    <row r="90" spans="1:10" x14ac:dyDescent="0.25">
      <c r="A90" t="s">
        <v>224</v>
      </c>
      <c r="B90">
        <v>1860</v>
      </c>
      <c r="E90" t="s">
        <v>1098</v>
      </c>
      <c r="F90" t="s">
        <v>1099</v>
      </c>
      <c r="G90" t="s">
        <v>1100</v>
      </c>
    </row>
    <row r="91" spans="1:10" x14ac:dyDescent="0.25">
      <c r="A91" t="s">
        <v>88</v>
      </c>
      <c r="B91">
        <v>1861</v>
      </c>
      <c r="E91" t="s">
        <v>746</v>
      </c>
      <c r="F91" t="s">
        <v>747</v>
      </c>
      <c r="G91" t="s">
        <v>748</v>
      </c>
    </row>
    <row r="92" spans="1:10" x14ac:dyDescent="0.25">
      <c r="A92" t="s">
        <v>230</v>
      </c>
      <c r="B92">
        <v>1861</v>
      </c>
      <c r="E92" t="s">
        <v>663</v>
      </c>
      <c r="F92" t="s">
        <v>917</v>
      </c>
      <c r="G92" t="s">
        <v>918</v>
      </c>
    </row>
    <row r="93" spans="1:10" x14ac:dyDescent="0.25">
      <c r="A93" t="s">
        <v>229</v>
      </c>
      <c r="B93">
        <v>1861</v>
      </c>
      <c r="E93" t="s">
        <v>1026</v>
      </c>
      <c r="F93" t="s">
        <v>1027</v>
      </c>
      <c r="G93" t="s">
        <v>1028</v>
      </c>
    </row>
    <row r="94" spans="1:10" x14ac:dyDescent="0.25">
      <c r="A94" t="s">
        <v>224</v>
      </c>
      <c r="B94">
        <v>1862</v>
      </c>
      <c r="E94" t="s">
        <v>1101</v>
      </c>
      <c r="F94" t="s">
        <v>1102</v>
      </c>
      <c r="G94" t="s">
        <v>1103</v>
      </c>
    </row>
    <row r="95" spans="1:10" x14ac:dyDescent="0.25">
      <c r="A95" t="s">
        <v>230</v>
      </c>
      <c r="B95">
        <v>1865</v>
      </c>
      <c r="E95" t="s">
        <v>919</v>
      </c>
      <c r="F95" t="s">
        <v>920</v>
      </c>
      <c r="G95" t="s">
        <v>921</v>
      </c>
    </row>
    <row r="96" spans="1:10" x14ac:dyDescent="0.25">
      <c r="A96" t="s">
        <v>88</v>
      </c>
      <c r="B96">
        <v>1866</v>
      </c>
      <c r="E96" t="s">
        <v>749</v>
      </c>
      <c r="F96" t="s">
        <v>750</v>
      </c>
      <c r="G96" t="s">
        <v>751</v>
      </c>
    </row>
    <row r="97" spans="1:10" x14ac:dyDescent="0.25">
      <c r="A97" t="s">
        <v>229</v>
      </c>
      <c r="B97">
        <v>1866</v>
      </c>
      <c r="E97" t="s">
        <v>1032</v>
      </c>
      <c r="F97" t="s">
        <v>1033</v>
      </c>
      <c r="G97" t="s">
        <v>1034</v>
      </c>
    </row>
    <row r="98" spans="1:10" x14ac:dyDescent="0.25">
      <c r="A98" t="s">
        <v>230</v>
      </c>
      <c r="B98">
        <v>1870</v>
      </c>
      <c r="E98" t="s">
        <v>922</v>
      </c>
      <c r="F98" t="s">
        <v>923</v>
      </c>
      <c r="G98" t="s">
        <v>924</v>
      </c>
    </row>
    <row r="99" spans="1:10" x14ac:dyDescent="0.25">
      <c r="A99" t="s">
        <v>239</v>
      </c>
      <c r="B99">
        <v>1872</v>
      </c>
      <c r="E99" t="s">
        <v>939</v>
      </c>
      <c r="F99" t="s">
        <v>940</v>
      </c>
      <c r="G99" t="s">
        <v>941</v>
      </c>
    </row>
    <row r="100" spans="1:10" x14ac:dyDescent="0.25">
      <c r="A100" t="s">
        <v>221</v>
      </c>
      <c r="B100">
        <v>1873</v>
      </c>
      <c r="C100" t="s">
        <v>1131</v>
      </c>
      <c r="D100" t="s">
        <v>43</v>
      </c>
      <c r="E100" t="s">
        <v>418</v>
      </c>
      <c r="F100" t="s">
        <v>1132</v>
      </c>
      <c r="G100" t="s">
        <v>1133</v>
      </c>
    </row>
    <row r="101" spans="1:10" x14ac:dyDescent="0.25">
      <c r="A101" t="s">
        <v>229</v>
      </c>
      <c r="B101">
        <v>1878</v>
      </c>
      <c r="C101" t="s">
        <v>1035</v>
      </c>
      <c r="D101" t="s">
        <v>492</v>
      </c>
      <c r="E101" t="s">
        <v>418</v>
      </c>
      <c r="F101" t="s">
        <v>1036</v>
      </c>
      <c r="G101" t="s">
        <v>1037</v>
      </c>
    </row>
    <row r="102" spans="1:10" x14ac:dyDescent="0.25">
      <c r="A102" t="s">
        <v>519</v>
      </c>
      <c r="B102">
        <v>1880</v>
      </c>
      <c r="C102" t="s">
        <v>520</v>
      </c>
      <c r="D102" t="s">
        <v>521</v>
      </c>
      <c r="E102" t="s">
        <v>376</v>
      </c>
      <c r="F102" t="s">
        <v>522</v>
      </c>
      <c r="G102" t="s">
        <v>523</v>
      </c>
      <c r="H102" t="s">
        <v>524</v>
      </c>
      <c r="I102" t="s">
        <v>428</v>
      </c>
      <c r="J102" t="s">
        <v>429</v>
      </c>
    </row>
    <row r="103" spans="1:10" x14ac:dyDescent="0.25">
      <c r="A103" t="s">
        <v>624</v>
      </c>
      <c r="B103">
        <v>1880</v>
      </c>
      <c r="C103" t="s">
        <v>625</v>
      </c>
      <c r="D103" t="s">
        <v>626</v>
      </c>
      <c r="E103" t="s">
        <v>376</v>
      </c>
      <c r="F103" t="s">
        <v>627</v>
      </c>
      <c r="G103" t="s">
        <v>628</v>
      </c>
      <c r="H103" t="s">
        <v>629</v>
      </c>
      <c r="I103" t="s">
        <v>428</v>
      </c>
      <c r="J103" t="s">
        <v>429</v>
      </c>
    </row>
    <row r="104" spans="1:10" x14ac:dyDescent="0.25">
      <c r="A104" t="s">
        <v>88</v>
      </c>
      <c r="B104">
        <v>1880</v>
      </c>
      <c r="E104" t="s">
        <v>752</v>
      </c>
      <c r="F104" t="s">
        <v>753</v>
      </c>
      <c r="G104" t="s">
        <v>754</v>
      </c>
    </row>
    <row r="105" spans="1:10" x14ac:dyDescent="0.25">
      <c r="A105" t="s">
        <v>88</v>
      </c>
      <c r="B105">
        <v>1881</v>
      </c>
      <c r="C105" t="s">
        <v>755</v>
      </c>
      <c r="D105" t="s">
        <v>492</v>
      </c>
      <c r="E105" t="s">
        <v>418</v>
      </c>
      <c r="F105" t="s">
        <v>756</v>
      </c>
      <c r="G105" t="s">
        <v>757</v>
      </c>
    </row>
    <row r="106" spans="1:10" x14ac:dyDescent="0.25">
      <c r="A106" t="s">
        <v>230</v>
      </c>
      <c r="B106">
        <v>1881</v>
      </c>
      <c r="E106" t="s">
        <v>925</v>
      </c>
      <c r="F106" t="s">
        <v>926</v>
      </c>
      <c r="G106" t="s">
        <v>927</v>
      </c>
    </row>
    <row r="107" spans="1:10" x14ac:dyDescent="0.25">
      <c r="A107" t="s">
        <v>239</v>
      </c>
      <c r="B107">
        <v>1883</v>
      </c>
      <c r="E107" t="s">
        <v>942</v>
      </c>
      <c r="F107" t="s">
        <v>943</v>
      </c>
      <c r="G107" t="s">
        <v>944</v>
      </c>
    </row>
    <row r="108" spans="1:10" x14ac:dyDescent="0.25">
      <c r="A108" t="s">
        <v>224</v>
      </c>
      <c r="B108">
        <v>1883</v>
      </c>
      <c r="C108" t="s">
        <v>1104</v>
      </c>
      <c r="D108" t="s">
        <v>1105</v>
      </c>
      <c r="E108" t="s">
        <v>418</v>
      </c>
      <c r="F108" t="s">
        <v>1106</v>
      </c>
      <c r="G108" t="s">
        <v>1107</v>
      </c>
    </row>
    <row r="109" spans="1:10" x14ac:dyDescent="0.25">
      <c r="A109" t="s">
        <v>122</v>
      </c>
      <c r="B109">
        <v>1884</v>
      </c>
      <c r="C109" t="s">
        <v>463</v>
      </c>
      <c r="D109" t="s">
        <v>464</v>
      </c>
      <c r="E109" t="s">
        <v>376</v>
      </c>
      <c r="F109" t="s">
        <v>465</v>
      </c>
      <c r="G109" t="s">
        <v>466</v>
      </c>
      <c r="H109" t="s">
        <v>467</v>
      </c>
      <c r="I109" t="s">
        <v>468</v>
      </c>
      <c r="J109" t="s">
        <v>429</v>
      </c>
    </row>
    <row r="110" spans="1:10" x14ac:dyDescent="0.25">
      <c r="A110" t="s">
        <v>657</v>
      </c>
      <c r="B110">
        <v>1886</v>
      </c>
      <c r="C110" t="s">
        <v>658</v>
      </c>
      <c r="D110" t="s">
        <v>659</v>
      </c>
      <c r="E110" t="s">
        <v>376</v>
      </c>
      <c r="F110" t="s">
        <v>660</v>
      </c>
      <c r="G110" t="s">
        <v>661</v>
      </c>
      <c r="H110" t="s">
        <v>662</v>
      </c>
      <c r="I110" t="s">
        <v>428</v>
      </c>
      <c r="J110" t="s">
        <v>429</v>
      </c>
    </row>
    <row r="111" spans="1:10" x14ac:dyDescent="0.25">
      <c r="A111" t="s">
        <v>114</v>
      </c>
      <c r="B111">
        <v>1889</v>
      </c>
      <c r="C111" t="s">
        <v>423</v>
      </c>
      <c r="D111" t="s">
        <v>424</v>
      </c>
      <c r="E111" t="s">
        <v>376</v>
      </c>
      <c r="F111" t="s">
        <v>425</v>
      </c>
      <c r="G111" t="s">
        <v>426</v>
      </c>
      <c r="H111" t="s">
        <v>427</v>
      </c>
      <c r="I111" t="s">
        <v>428</v>
      </c>
      <c r="J111" t="s">
        <v>429</v>
      </c>
    </row>
    <row r="112" spans="1:10" x14ac:dyDescent="0.25">
      <c r="A112" t="s">
        <v>114</v>
      </c>
      <c r="B112">
        <v>1890</v>
      </c>
      <c r="E112" t="s">
        <v>430</v>
      </c>
      <c r="F112" t="s">
        <v>431</v>
      </c>
      <c r="G112" t="s">
        <v>432</v>
      </c>
    </row>
    <row r="113" spans="1:10" x14ac:dyDescent="0.25">
      <c r="A113" t="s">
        <v>239</v>
      </c>
      <c r="B113">
        <v>1890</v>
      </c>
      <c r="E113" t="s">
        <v>945</v>
      </c>
      <c r="F113" t="s">
        <v>946</v>
      </c>
      <c r="G113" t="s">
        <v>947</v>
      </c>
    </row>
    <row r="114" spans="1:10" x14ac:dyDescent="0.25">
      <c r="A114" t="s">
        <v>233</v>
      </c>
      <c r="B114">
        <v>1891</v>
      </c>
      <c r="C114" t="s">
        <v>950</v>
      </c>
      <c r="D114" t="s">
        <v>951</v>
      </c>
      <c r="E114" t="s">
        <v>376</v>
      </c>
      <c r="F114" t="s">
        <v>952</v>
      </c>
      <c r="G114" t="s">
        <v>953</v>
      </c>
      <c r="H114" t="s">
        <v>954</v>
      </c>
      <c r="I114" t="s">
        <v>955</v>
      </c>
      <c r="J114" t="s">
        <v>429</v>
      </c>
    </row>
    <row r="115" spans="1:10" x14ac:dyDescent="0.25">
      <c r="A115" t="s">
        <v>236</v>
      </c>
      <c r="B115">
        <v>1893</v>
      </c>
      <c r="C115" t="s">
        <v>978</v>
      </c>
      <c r="D115" t="s">
        <v>979</v>
      </c>
      <c r="E115" t="s">
        <v>376</v>
      </c>
      <c r="F115" t="s">
        <v>980</v>
      </c>
      <c r="G115" t="s">
        <v>981</v>
      </c>
      <c r="H115" t="s">
        <v>982</v>
      </c>
      <c r="I115" t="s">
        <v>955</v>
      </c>
      <c r="J115" t="s">
        <v>429</v>
      </c>
    </row>
    <row r="116" spans="1:10" x14ac:dyDescent="0.25">
      <c r="A116" t="s">
        <v>244</v>
      </c>
      <c r="B116">
        <v>1894</v>
      </c>
      <c r="C116" t="s">
        <v>820</v>
      </c>
      <c r="D116" t="s">
        <v>521</v>
      </c>
      <c r="E116" t="s">
        <v>376</v>
      </c>
      <c r="F116" t="s">
        <v>821</v>
      </c>
      <c r="G116" t="s">
        <v>822</v>
      </c>
      <c r="H116" t="s">
        <v>823</v>
      </c>
      <c r="I116" t="s">
        <v>428</v>
      </c>
      <c r="J116" t="s">
        <v>429</v>
      </c>
    </row>
    <row r="117" spans="1:10" x14ac:dyDescent="0.25">
      <c r="A117" t="s">
        <v>230</v>
      </c>
      <c r="B117">
        <v>1895</v>
      </c>
      <c r="C117" t="s">
        <v>928</v>
      </c>
      <c r="D117" t="s">
        <v>492</v>
      </c>
      <c r="E117" t="s">
        <v>418</v>
      </c>
      <c r="F117" t="s">
        <v>929</v>
      </c>
      <c r="G117" t="s">
        <v>930</v>
      </c>
    </row>
    <row r="118" spans="1:10" x14ac:dyDescent="0.25">
      <c r="A118" t="s">
        <v>624</v>
      </c>
      <c r="B118">
        <v>1896</v>
      </c>
      <c r="E118" t="s">
        <v>630</v>
      </c>
      <c r="F118" t="s">
        <v>631</v>
      </c>
      <c r="G118" t="s">
        <v>632</v>
      </c>
    </row>
    <row r="119" spans="1:10" x14ac:dyDescent="0.25">
      <c r="A119" t="s">
        <v>519</v>
      </c>
      <c r="B119">
        <v>1898</v>
      </c>
      <c r="E119" t="s">
        <v>525</v>
      </c>
      <c r="F119" t="s">
        <v>526</v>
      </c>
      <c r="G119" t="s">
        <v>527</v>
      </c>
      <c r="H119" t="s">
        <v>528</v>
      </c>
      <c r="I119" t="s">
        <v>529</v>
      </c>
      <c r="J119" t="s">
        <v>530</v>
      </c>
    </row>
    <row r="120" spans="1:10" x14ac:dyDescent="0.25">
      <c r="A120" t="s">
        <v>114</v>
      </c>
      <c r="B120">
        <v>1899</v>
      </c>
      <c r="C120" s="14"/>
      <c r="E120" t="s">
        <v>433</v>
      </c>
      <c r="F120" t="s">
        <v>434</v>
      </c>
      <c r="G120" t="s">
        <v>435</v>
      </c>
    </row>
    <row r="121" spans="1:10" x14ac:dyDescent="0.25">
      <c r="A121" t="s">
        <v>122</v>
      </c>
      <c r="B121">
        <v>1901</v>
      </c>
      <c r="C121" s="15">
        <v>518</v>
      </c>
      <c r="D121" t="s">
        <v>464</v>
      </c>
      <c r="E121" t="s">
        <v>469</v>
      </c>
      <c r="F121" t="s">
        <v>470</v>
      </c>
      <c r="G121" t="s">
        <v>471</v>
      </c>
    </row>
    <row r="122" spans="1:10" x14ac:dyDescent="0.25">
      <c r="A122" t="s">
        <v>519</v>
      </c>
      <c r="B122">
        <v>1901</v>
      </c>
      <c r="E122" t="s">
        <v>531</v>
      </c>
      <c r="F122" t="s">
        <v>532</v>
      </c>
      <c r="G122" t="s">
        <v>533</v>
      </c>
    </row>
    <row r="123" spans="1:10" x14ac:dyDescent="0.25">
      <c r="A123" t="s">
        <v>624</v>
      </c>
      <c r="B123">
        <v>1902</v>
      </c>
      <c r="E123" t="s">
        <v>633</v>
      </c>
      <c r="F123" t="s">
        <v>634</v>
      </c>
      <c r="G123" t="s">
        <v>635</v>
      </c>
    </row>
    <row r="124" spans="1:10" x14ac:dyDescent="0.25">
      <c r="A124" t="s">
        <v>519</v>
      </c>
      <c r="B124">
        <v>1903</v>
      </c>
      <c r="E124" t="s">
        <v>534</v>
      </c>
      <c r="F124" t="s">
        <v>535</v>
      </c>
      <c r="G124" t="s">
        <v>536</v>
      </c>
    </row>
    <row r="125" spans="1:10" x14ac:dyDescent="0.25">
      <c r="A125" t="s">
        <v>657</v>
      </c>
      <c r="B125">
        <v>1903</v>
      </c>
      <c r="E125" t="s">
        <v>663</v>
      </c>
      <c r="F125" t="s">
        <v>664</v>
      </c>
      <c r="G125" t="s">
        <v>665</v>
      </c>
    </row>
    <row r="126" spans="1:10" x14ac:dyDescent="0.25">
      <c r="A126" t="s">
        <v>519</v>
      </c>
      <c r="B126">
        <v>1904</v>
      </c>
      <c r="E126" t="s">
        <v>537</v>
      </c>
      <c r="F126" t="s">
        <v>538</v>
      </c>
      <c r="G126" t="s">
        <v>539</v>
      </c>
    </row>
    <row r="127" spans="1:10" x14ac:dyDescent="0.25">
      <c r="A127" t="s">
        <v>624</v>
      </c>
      <c r="B127">
        <v>1905</v>
      </c>
      <c r="E127" t="s">
        <v>636</v>
      </c>
      <c r="F127" t="s">
        <v>637</v>
      </c>
      <c r="G127" t="s">
        <v>638</v>
      </c>
    </row>
    <row r="128" spans="1:10" x14ac:dyDescent="0.25">
      <c r="A128" t="s">
        <v>657</v>
      </c>
      <c r="B128">
        <v>1905</v>
      </c>
      <c r="E128" t="s">
        <v>666</v>
      </c>
      <c r="F128" t="s">
        <v>667</v>
      </c>
      <c r="G128" t="s">
        <v>668</v>
      </c>
    </row>
    <row r="129" spans="1:10" x14ac:dyDescent="0.25">
      <c r="A129" t="s">
        <v>122</v>
      </c>
      <c r="B129">
        <v>1906</v>
      </c>
      <c r="E129" t="s">
        <v>472</v>
      </c>
      <c r="F129" t="s">
        <v>473</v>
      </c>
      <c r="G129" t="s">
        <v>474</v>
      </c>
    </row>
    <row r="130" spans="1:10" x14ac:dyDescent="0.25">
      <c r="A130" t="s">
        <v>624</v>
      </c>
      <c r="B130">
        <v>1906</v>
      </c>
      <c r="E130" t="s">
        <v>481</v>
      </c>
      <c r="F130" t="s">
        <v>639</v>
      </c>
      <c r="G130" t="s">
        <v>640</v>
      </c>
      <c r="H130" t="s">
        <v>641</v>
      </c>
    </row>
    <row r="131" spans="1:10" x14ac:dyDescent="0.25">
      <c r="A131" t="s">
        <v>236</v>
      </c>
      <c r="B131">
        <v>1906</v>
      </c>
      <c r="E131" t="s">
        <v>983</v>
      </c>
      <c r="F131" t="s">
        <v>984</v>
      </c>
      <c r="G131" t="s">
        <v>985</v>
      </c>
    </row>
    <row r="132" spans="1:10" x14ac:dyDescent="0.25">
      <c r="A132" t="s">
        <v>519</v>
      </c>
      <c r="B132">
        <v>1907</v>
      </c>
      <c r="E132" t="s">
        <v>540</v>
      </c>
      <c r="F132" t="s">
        <v>541</v>
      </c>
      <c r="G132" t="s">
        <v>542</v>
      </c>
    </row>
    <row r="133" spans="1:10" x14ac:dyDescent="0.25">
      <c r="A133" t="s">
        <v>657</v>
      </c>
      <c r="B133">
        <v>1907</v>
      </c>
      <c r="E133" t="s">
        <v>669</v>
      </c>
      <c r="F133" t="s">
        <v>670</v>
      </c>
      <c r="G133" t="s">
        <v>671</v>
      </c>
      <c r="I133" t="s">
        <v>672</v>
      </c>
      <c r="J133" t="s">
        <v>673</v>
      </c>
    </row>
    <row r="134" spans="1:10" x14ac:dyDescent="0.25">
      <c r="A134" t="s">
        <v>657</v>
      </c>
      <c r="B134">
        <v>1907</v>
      </c>
      <c r="E134" t="s">
        <v>674</v>
      </c>
      <c r="F134" t="s">
        <v>675</v>
      </c>
      <c r="G134" t="s">
        <v>676</v>
      </c>
    </row>
    <row r="135" spans="1:10" x14ac:dyDescent="0.25">
      <c r="A135" t="s">
        <v>233</v>
      </c>
      <c r="B135">
        <v>1907</v>
      </c>
      <c r="E135" t="s">
        <v>956</v>
      </c>
      <c r="F135" t="s">
        <v>957</v>
      </c>
      <c r="G135" t="s">
        <v>958</v>
      </c>
    </row>
    <row r="136" spans="1:10" x14ac:dyDescent="0.25">
      <c r="A136" t="s">
        <v>97</v>
      </c>
      <c r="B136">
        <v>1908</v>
      </c>
      <c r="C136" s="14">
        <v>3022</v>
      </c>
      <c r="D136" t="s">
        <v>758</v>
      </c>
      <c r="E136" t="s">
        <v>376</v>
      </c>
      <c r="F136" t="s">
        <v>759</v>
      </c>
      <c r="G136" t="s">
        <v>760</v>
      </c>
      <c r="H136" t="s">
        <v>761</v>
      </c>
      <c r="I136" t="s">
        <v>428</v>
      </c>
      <c r="J136" t="s">
        <v>429</v>
      </c>
    </row>
    <row r="137" spans="1:10" x14ac:dyDescent="0.25">
      <c r="A137" t="s">
        <v>236</v>
      </c>
      <c r="B137">
        <v>1908</v>
      </c>
      <c r="E137" t="s">
        <v>986</v>
      </c>
      <c r="F137" t="s">
        <v>987</v>
      </c>
      <c r="G137" t="s">
        <v>988</v>
      </c>
    </row>
    <row r="138" spans="1:10" x14ac:dyDescent="0.25">
      <c r="A138" t="s">
        <v>657</v>
      </c>
      <c r="B138">
        <v>1909</v>
      </c>
      <c r="E138" t="s">
        <v>677</v>
      </c>
      <c r="F138" t="s">
        <v>678</v>
      </c>
      <c r="G138" t="s">
        <v>679</v>
      </c>
    </row>
    <row r="139" spans="1:10" x14ac:dyDescent="0.25">
      <c r="A139" t="s">
        <v>114</v>
      </c>
      <c r="B139">
        <v>1910</v>
      </c>
      <c r="C139" s="15">
        <v>3768</v>
      </c>
      <c r="E139" t="s">
        <v>436</v>
      </c>
      <c r="F139" t="s">
        <v>437</v>
      </c>
      <c r="G139" t="s">
        <v>438</v>
      </c>
      <c r="H139" t="s">
        <v>439</v>
      </c>
    </row>
    <row r="140" spans="1:10" x14ac:dyDescent="0.25">
      <c r="A140" t="s">
        <v>123</v>
      </c>
      <c r="B140">
        <v>1910</v>
      </c>
      <c r="C140" s="14">
        <v>3789</v>
      </c>
      <c r="D140" t="s">
        <v>492</v>
      </c>
      <c r="E140" t="s">
        <v>376</v>
      </c>
      <c r="F140" t="s">
        <v>493</v>
      </c>
      <c r="G140" t="s">
        <v>494</v>
      </c>
    </row>
    <row r="141" spans="1:10" x14ac:dyDescent="0.25">
      <c r="A141" t="s">
        <v>519</v>
      </c>
      <c r="B141">
        <v>1910</v>
      </c>
      <c r="E141" t="s">
        <v>543</v>
      </c>
      <c r="F141" t="s">
        <v>544</v>
      </c>
      <c r="G141" t="s">
        <v>545</v>
      </c>
    </row>
    <row r="142" spans="1:10" x14ac:dyDescent="0.25">
      <c r="A142" t="s">
        <v>624</v>
      </c>
      <c r="B142">
        <v>1910</v>
      </c>
      <c r="E142" t="s">
        <v>642</v>
      </c>
      <c r="F142" t="s">
        <v>643</v>
      </c>
      <c r="G142" t="s">
        <v>644</v>
      </c>
    </row>
    <row r="143" spans="1:10" x14ac:dyDescent="0.25">
      <c r="A143" t="s">
        <v>657</v>
      </c>
      <c r="B143">
        <v>1910</v>
      </c>
      <c r="C143" s="14">
        <v>3768</v>
      </c>
      <c r="E143" t="s">
        <v>680</v>
      </c>
      <c r="F143" t="s">
        <v>681</v>
      </c>
      <c r="G143" t="s">
        <v>682</v>
      </c>
    </row>
    <row r="144" spans="1:10" x14ac:dyDescent="0.25">
      <c r="A144" t="s">
        <v>122</v>
      </c>
      <c r="B144">
        <v>1911</v>
      </c>
      <c r="E144" t="s">
        <v>475</v>
      </c>
      <c r="F144" t="s">
        <v>476</v>
      </c>
      <c r="G144" t="s">
        <v>477</v>
      </c>
    </row>
    <row r="145" spans="1:10" x14ac:dyDescent="0.25">
      <c r="A145" t="s">
        <v>233</v>
      </c>
      <c r="B145">
        <v>1911</v>
      </c>
      <c r="E145" t="s">
        <v>382</v>
      </c>
      <c r="F145" t="s">
        <v>959</v>
      </c>
      <c r="G145" t="s">
        <v>960</v>
      </c>
    </row>
    <row r="146" spans="1:10" x14ac:dyDescent="0.25">
      <c r="A146" t="s">
        <v>233</v>
      </c>
      <c r="B146">
        <v>1911</v>
      </c>
      <c r="E146" t="s">
        <v>961</v>
      </c>
      <c r="F146" t="s">
        <v>962</v>
      </c>
      <c r="G146" t="s">
        <v>963</v>
      </c>
      <c r="H146" t="s">
        <v>964</v>
      </c>
      <c r="I146" t="s">
        <v>687</v>
      </c>
      <c r="J146" t="s">
        <v>965</v>
      </c>
    </row>
    <row r="147" spans="1:10" x14ac:dyDescent="0.25">
      <c r="A147" t="s">
        <v>236</v>
      </c>
      <c r="B147">
        <v>1911</v>
      </c>
      <c r="E147" t="s">
        <v>989</v>
      </c>
      <c r="F147" t="s">
        <v>990</v>
      </c>
      <c r="G147" t="s">
        <v>991</v>
      </c>
    </row>
    <row r="148" spans="1:10" x14ac:dyDescent="0.25">
      <c r="A148" t="s">
        <v>114</v>
      </c>
      <c r="B148">
        <v>1912</v>
      </c>
      <c r="C148" s="15">
        <v>4444</v>
      </c>
      <c r="E148" t="s">
        <v>440</v>
      </c>
      <c r="F148" t="s">
        <v>441</v>
      </c>
      <c r="G148" t="s">
        <v>442</v>
      </c>
      <c r="H148" t="s">
        <v>443</v>
      </c>
      <c r="I148" t="s">
        <v>444</v>
      </c>
      <c r="J148" t="s">
        <v>445</v>
      </c>
    </row>
    <row r="149" spans="1:10" x14ac:dyDescent="0.25">
      <c r="A149" t="s">
        <v>657</v>
      </c>
      <c r="B149">
        <v>1912</v>
      </c>
      <c r="E149" t="s">
        <v>683</v>
      </c>
      <c r="F149" t="s">
        <v>684</v>
      </c>
      <c r="G149" t="s">
        <v>685</v>
      </c>
      <c r="H149" t="s">
        <v>686</v>
      </c>
      <c r="I149" t="s">
        <v>687</v>
      </c>
      <c r="J149" t="s">
        <v>688</v>
      </c>
    </row>
    <row r="150" spans="1:10" x14ac:dyDescent="0.25">
      <c r="A150" t="s">
        <v>239</v>
      </c>
      <c r="B150">
        <v>1912</v>
      </c>
      <c r="C150" s="14">
        <v>4703</v>
      </c>
      <c r="D150" t="s">
        <v>492</v>
      </c>
      <c r="E150" t="s">
        <v>418</v>
      </c>
      <c r="F150" t="s">
        <v>948</v>
      </c>
      <c r="G150" t="s">
        <v>949</v>
      </c>
    </row>
    <row r="151" spans="1:10" x14ac:dyDescent="0.25">
      <c r="A151" t="s">
        <v>236</v>
      </c>
      <c r="B151">
        <v>1912</v>
      </c>
      <c r="E151" t="s">
        <v>992</v>
      </c>
      <c r="F151" t="s">
        <v>993</v>
      </c>
      <c r="G151" t="s">
        <v>994</v>
      </c>
      <c r="H151" t="s">
        <v>995</v>
      </c>
    </row>
    <row r="152" spans="1:10" x14ac:dyDescent="0.25">
      <c r="A152" t="s">
        <v>244</v>
      </c>
      <c r="B152">
        <v>1913</v>
      </c>
      <c r="E152" t="s">
        <v>382</v>
      </c>
      <c r="F152" t="s">
        <v>824</v>
      </c>
      <c r="G152" t="s">
        <v>825</v>
      </c>
    </row>
    <row r="153" spans="1:10" x14ac:dyDescent="0.25">
      <c r="A153" t="s">
        <v>233</v>
      </c>
      <c r="B153">
        <v>1913</v>
      </c>
      <c r="E153" t="s">
        <v>966</v>
      </c>
      <c r="F153" t="s">
        <v>967</v>
      </c>
      <c r="G153" t="s">
        <v>968</v>
      </c>
    </row>
    <row r="154" spans="1:10" x14ac:dyDescent="0.25">
      <c r="A154" t="s">
        <v>657</v>
      </c>
      <c r="B154">
        <v>1914</v>
      </c>
      <c r="E154" t="s">
        <v>689</v>
      </c>
      <c r="F154" t="s">
        <v>690</v>
      </c>
      <c r="G154" t="s">
        <v>691</v>
      </c>
    </row>
    <row r="155" spans="1:10" x14ac:dyDescent="0.25">
      <c r="A155" t="s">
        <v>244</v>
      </c>
      <c r="B155">
        <v>1914</v>
      </c>
      <c r="E155" t="s">
        <v>689</v>
      </c>
      <c r="F155" t="s">
        <v>826</v>
      </c>
      <c r="G155" t="s">
        <v>827</v>
      </c>
    </row>
    <row r="156" spans="1:10" x14ac:dyDescent="0.25">
      <c r="A156" t="s">
        <v>122</v>
      </c>
      <c r="B156">
        <v>1915</v>
      </c>
      <c r="E156" t="s">
        <v>478</v>
      </c>
      <c r="F156" t="s">
        <v>479</v>
      </c>
      <c r="G156" t="s">
        <v>480</v>
      </c>
    </row>
    <row r="157" spans="1:10" x14ac:dyDescent="0.25">
      <c r="A157" t="s">
        <v>236</v>
      </c>
      <c r="B157">
        <v>1915</v>
      </c>
      <c r="E157" t="s">
        <v>996</v>
      </c>
      <c r="F157" t="s">
        <v>997</v>
      </c>
      <c r="G157" t="s">
        <v>998</v>
      </c>
    </row>
    <row r="158" spans="1:10" x14ac:dyDescent="0.25">
      <c r="A158" t="s">
        <v>236</v>
      </c>
      <c r="B158">
        <v>1917</v>
      </c>
      <c r="E158" t="s">
        <v>999</v>
      </c>
      <c r="F158" t="s">
        <v>1000</v>
      </c>
      <c r="G158" t="s">
        <v>1001</v>
      </c>
    </row>
    <row r="159" spans="1:10" x14ac:dyDescent="0.25">
      <c r="A159" t="s">
        <v>519</v>
      </c>
      <c r="B159">
        <v>1918</v>
      </c>
      <c r="E159" t="s">
        <v>546</v>
      </c>
      <c r="F159" t="s">
        <v>547</v>
      </c>
      <c r="G159" t="s">
        <v>548</v>
      </c>
      <c r="H159" t="s">
        <v>549</v>
      </c>
    </row>
    <row r="160" spans="1:10" x14ac:dyDescent="0.25">
      <c r="A160" t="s">
        <v>58</v>
      </c>
      <c r="B160">
        <v>1919</v>
      </c>
      <c r="C160" s="14">
        <v>6941</v>
      </c>
      <c r="D160" t="s">
        <v>588</v>
      </c>
      <c r="E160" t="s">
        <v>376</v>
      </c>
      <c r="F160" t="s">
        <v>589</v>
      </c>
      <c r="G160" t="s">
        <v>590</v>
      </c>
      <c r="H160" t="s">
        <v>591</v>
      </c>
      <c r="I160" t="s">
        <v>592</v>
      </c>
      <c r="J160" t="s">
        <v>593</v>
      </c>
    </row>
    <row r="161" spans="1:10" x14ac:dyDescent="0.25">
      <c r="A161" t="s">
        <v>244</v>
      </c>
      <c r="B161">
        <v>1919</v>
      </c>
      <c r="E161" t="s">
        <v>828</v>
      </c>
      <c r="F161" t="s">
        <v>829</v>
      </c>
      <c r="G161" t="s">
        <v>830</v>
      </c>
    </row>
    <row r="162" spans="1:10" x14ac:dyDescent="0.25">
      <c r="A162" t="s">
        <v>105</v>
      </c>
      <c r="B162">
        <v>1920</v>
      </c>
      <c r="C162" s="14">
        <v>7365</v>
      </c>
      <c r="D162" t="s">
        <v>375</v>
      </c>
      <c r="E162" t="s">
        <v>376</v>
      </c>
      <c r="F162" t="s">
        <v>377</v>
      </c>
      <c r="G162" t="s">
        <v>378</v>
      </c>
      <c r="H162" t="s">
        <v>379</v>
      </c>
      <c r="I162" t="s">
        <v>380</v>
      </c>
      <c r="J162" t="s">
        <v>381</v>
      </c>
    </row>
    <row r="163" spans="1:10" x14ac:dyDescent="0.25">
      <c r="A163" t="s">
        <v>122</v>
      </c>
      <c r="B163">
        <v>1920</v>
      </c>
      <c r="E163" t="s">
        <v>481</v>
      </c>
      <c r="F163" t="s">
        <v>482</v>
      </c>
      <c r="G163" t="s">
        <v>483</v>
      </c>
    </row>
    <row r="164" spans="1:10" x14ac:dyDescent="0.25">
      <c r="A164" t="s">
        <v>244</v>
      </c>
      <c r="B164">
        <v>1920</v>
      </c>
      <c r="E164" t="s">
        <v>834</v>
      </c>
      <c r="F164" t="s">
        <v>835</v>
      </c>
      <c r="G164" t="s">
        <v>836</v>
      </c>
    </row>
    <row r="165" spans="1:10" x14ac:dyDescent="0.25">
      <c r="A165" t="s">
        <v>519</v>
      </c>
      <c r="B165">
        <v>1921</v>
      </c>
      <c r="C165" s="14">
        <v>7890</v>
      </c>
      <c r="D165" t="s">
        <v>550</v>
      </c>
      <c r="E165" t="s">
        <v>418</v>
      </c>
      <c r="F165" t="s">
        <v>551</v>
      </c>
      <c r="G165" t="s">
        <v>552</v>
      </c>
    </row>
    <row r="166" spans="1:10" x14ac:dyDescent="0.25">
      <c r="A166" t="s">
        <v>657</v>
      </c>
      <c r="B166">
        <v>1921</v>
      </c>
      <c r="C166" s="14">
        <v>7908</v>
      </c>
      <c r="D166" t="s">
        <v>550</v>
      </c>
      <c r="E166" t="s">
        <v>692</v>
      </c>
      <c r="F166" t="s">
        <v>693</v>
      </c>
      <c r="G166" t="s">
        <v>694</v>
      </c>
    </row>
    <row r="167" spans="1:10" x14ac:dyDescent="0.25">
      <c r="A167" t="s">
        <v>97</v>
      </c>
      <c r="B167">
        <v>1921</v>
      </c>
      <c r="E167" t="s">
        <v>762</v>
      </c>
      <c r="F167" t="s">
        <v>763</v>
      </c>
      <c r="G167" t="s">
        <v>764</v>
      </c>
    </row>
    <row r="168" spans="1:10" x14ac:dyDescent="0.25">
      <c r="A168" t="s">
        <v>244</v>
      </c>
      <c r="B168">
        <v>1922</v>
      </c>
      <c r="E168" t="s">
        <v>831</v>
      </c>
      <c r="F168" t="s">
        <v>832</v>
      </c>
      <c r="G168" t="s">
        <v>833</v>
      </c>
    </row>
    <row r="169" spans="1:10" x14ac:dyDescent="0.25">
      <c r="A169" t="s">
        <v>233</v>
      </c>
      <c r="B169">
        <v>1922</v>
      </c>
      <c r="E169" t="s">
        <v>969</v>
      </c>
      <c r="F169" t="s">
        <v>970</v>
      </c>
      <c r="G169" t="s">
        <v>971</v>
      </c>
    </row>
    <row r="170" spans="1:10" x14ac:dyDescent="0.25">
      <c r="A170" t="s">
        <v>624</v>
      </c>
      <c r="B170">
        <v>1923</v>
      </c>
      <c r="E170" t="s">
        <v>645</v>
      </c>
      <c r="F170" t="s">
        <v>646</v>
      </c>
      <c r="G170" t="s">
        <v>647</v>
      </c>
    </row>
    <row r="171" spans="1:10" x14ac:dyDescent="0.25">
      <c r="A171" t="s">
        <v>122</v>
      </c>
      <c r="B171">
        <v>1924</v>
      </c>
      <c r="E171" t="s">
        <v>484</v>
      </c>
      <c r="F171" t="s">
        <v>485</v>
      </c>
      <c r="G171" t="s">
        <v>486</v>
      </c>
    </row>
    <row r="172" spans="1:10" x14ac:dyDescent="0.25">
      <c r="A172" t="s">
        <v>123</v>
      </c>
      <c r="B172">
        <v>1924</v>
      </c>
      <c r="E172" t="s">
        <v>481</v>
      </c>
      <c r="F172" t="s">
        <v>495</v>
      </c>
      <c r="G172" t="s">
        <v>496</v>
      </c>
    </row>
    <row r="173" spans="1:10" x14ac:dyDescent="0.25">
      <c r="A173" t="s">
        <v>97</v>
      </c>
      <c r="B173">
        <v>1924</v>
      </c>
      <c r="E173" t="s">
        <v>765</v>
      </c>
      <c r="F173" t="s">
        <v>766</v>
      </c>
      <c r="G173" t="s">
        <v>767</v>
      </c>
    </row>
    <row r="174" spans="1:10" x14ac:dyDescent="0.25">
      <c r="A174" t="s">
        <v>97</v>
      </c>
      <c r="B174">
        <v>1925</v>
      </c>
      <c r="E174" t="s">
        <v>768</v>
      </c>
      <c r="F174" t="s">
        <v>769</v>
      </c>
      <c r="G174" t="s">
        <v>770</v>
      </c>
    </row>
    <row r="175" spans="1:10" x14ac:dyDescent="0.25">
      <c r="A175" t="s">
        <v>236</v>
      </c>
      <c r="B175">
        <v>1925</v>
      </c>
      <c r="E175" t="s">
        <v>1002</v>
      </c>
      <c r="F175" t="s">
        <v>1003</v>
      </c>
      <c r="G175" t="s">
        <v>1004</v>
      </c>
    </row>
    <row r="176" spans="1:10" x14ac:dyDescent="0.25">
      <c r="A176" t="s">
        <v>122</v>
      </c>
      <c r="B176">
        <v>1928</v>
      </c>
      <c r="E176" t="s">
        <v>487</v>
      </c>
      <c r="F176" t="s">
        <v>488</v>
      </c>
      <c r="G176" t="s">
        <v>489</v>
      </c>
    </row>
    <row r="177" spans="1:12" x14ac:dyDescent="0.25">
      <c r="A177" t="s">
        <v>123</v>
      </c>
      <c r="B177">
        <v>1928</v>
      </c>
      <c r="E177" t="s">
        <v>497</v>
      </c>
      <c r="F177" t="s">
        <v>498</v>
      </c>
      <c r="G177" t="s">
        <v>499</v>
      </c>
      <c r="I177" t="s">
        <v>385</v>
      </c>
      <c r="J177" t="s">
        <v>461</v>
      </c>
    </row>
    <row r="178" spans="1:12" x14ac:dyDescent="0.25">
      <c r="A178" t="s">
        <v>624</v>
      </c>
      <c r="B178">
        <v>1928</v>
      </c>
      <c r="E178" t="s">
        <v>648</v>
      </c>
      <c r="F178" t="s">
        <v>649</v>
      </c>
      <c r="G178" t="s">
        <v>650</v>
      </c>
    </row>
    <row r="179" spans="1:12" x14ac:dyDescent="0.25">
      <c r="A179" t="s">
        <v>624</v>
      </c>
      <c r="B179">
        <v>1929</v>
      </c>
      <c r="E179" t="s">
        <v>651</v>
      </c>
      <c r="F179" t="s">
        <v>652</v>
      </c>
      <c r="G179" t="s">
        <v>653</v>
      </c>
    </row>
    <row r="180" spans="1:12" x14ac:dyDescent="0.25">
      <c r="A180" t="s">
        <v>236</v>
      </c>
      <c r="B180">
        <v>1930</v>
      </c>
      <c r="C180" s="14">
        <v>11062</v>
      </c>
      <c r="D180" t="s">
        <v>400</v>
      </c>
      <c r="E180" t="s">
        <v>1005</v>
      </c>
      <c r="F180" t="s">
        <v>1006</v>
      </c>
      <c r="G180" t="s">
        <v>1007</v>
      </c>
    </row>
    <row r="181" spans="1:12" x14ac:dyDescent="0.25">
      <c r="A181" t="s">
        <v>624</v>
      </c>
      <c r="B181">
        <v>1932</v>
      </c>
      <c r="C181" s="14">
        <v>11878</v>
      </c>
      <c r="D181" t="s">
        <v>654</v>
      </c>
      <c r="E181" t="s">
        <v>418</v>
      </c>
      <c r="F181" t="s">
        <v>655</v>
      </c>
      <c r="G181" t="s">
        <v>656</v>
      </c>
    </row>
    <row r="182" spans="1:12" x14ac:dyDescent="0.25">
      <c r="A182" t="s">
        <v>233</v>
      </c>
      <c r="B182">
        <v>1933</v>
      </c>
      <c r="E182" t="s">
        <v>972</v>
      </c>
      <c r="F182" t="s">
        <v>973</v>
      </c>
      <c r="G182" t="s">
        <v>974</v>
      </c>
    </row>
    <row r="183" spans="1:12" x14ac:dyDescent="0.25">
      <c r="A183" t="s">
        <v>97</v>
      </c>
      <c r="B183">
        <v>1935</v>
      </c>
      <c r="E183" t="s">
        <v>771</v>
      </c>
      <c r="F183" t="s">
        <v>772</v>
      </c>
      <c r="G183" t="s">
        <v>773</v>
      </c>
    </row>
    <row r="184" spans="1:12" x14ac:dyDescent="0.25">
      <c r="A184" t="s">
        <v>244</v>
      </c>
      <c r="B184">
        <v>1935</v>
      </c>
      <c r="E184" t="s">
        <v>837</v>
      </c>
      <c r="F184" t="s">
        <v>838</v>
      </c>
      <c r="G184" t="s">
        <v>839</v>
      </c>
    </row>
    <row r="185" spans="1:12" x14ac:dyDescent="0.25">
      <c r="A185" t="s">
        <v>58</v>
      </c>
      <c r="B185">
        <v>1937</v>
      </c>
      <c r="E185" t="s">
        <v>594</v>
      </c>
      <c r="F185" t="s">
        <v>595</v>
      </c>
      <c r="G185" t="s">
        <v>596</v>
      </c>
    </row>
    <row r="186" spans="1:12" x14ac:dyDescent="0.25">
      <c r="A186" t="s">
        <v>105</v>
      </c>
      <c r="B186">
        <v>1938</v>
      </c>
      <c r="C186" s="14"/>
      <c r="E186" t="s">
        <v>382</v>
      </c>
      <c r="F186" t="s">
        <v>383</v>
      </c>
      <c r="G186" t="s">
        <v>384</v>
      </c>
      <c r="I186" t="s">
        <v>385</v>
      </c>
      <c r="J186" t="s">
        <v>461</v>
      </c>
    </row>
    <row r="187" spans="1:12" x14ac:dyDescent="0.25">
      <c r="A187" t="s">
        <v>123</v>
      </c>
      <c r="B187">
        <v>1938</v>
      </c>
      <c r="E187" t="s">
        <v>500</v>
      </c>
      <c r="F187" t="s">
        <v>501</v>
      </c>
      <c r="G187" t="s">
        <v>502</v>
      </c>
    </row>
    <row r="188" spans="1:12" x14ac:dyDescent="0.25">
      <c r="A188" t="s">
        <v>233</v>
      </c>
      <c r="B188">
        <v>1938</v>
      </c>
      <c r="C188" s="14">
        <v>14241</v>
      </c>
      <c r="D188" t="s">
        <v>975</v>
      </c>
      <c r="E188" t="s">
        <v>418</v>
      </c>
      <c r="F188" t="s">
        <v>976</v>
      </c>
      <c r="G188" t="s">
        <v>977</v>
      </c>
    </row>
    <row r="189" spans="1:12" x14ac:dyDescent="0.25">
      <c r="A189" t="s">
        <v>114</v>
      </c>
      <c r="B189">
        <v>1939</v>
      </c>
      <c r="E189" t="s">
        <v>446</v>
      </c>
      <c r="F189" t="s">
        <v>447</v>
      </c>
      <c r="G189" t="s">
        <v>448</v>
      </c>
      <c r="H189" t="s">
        <v>449</v>
      </c>
    </row>
    <row r="190" spans="1:12" x14ac:dyDescent="0.25">
      <c r="A190" t="s">
        <v>105</v>
      </c>
      <c r="B190">
        <v>1941</v>
      </c>
      <c r="C190" s="14">
        <v>15151</v>
      </c>
      <c r="D190" t="s">
        <v>386</v>
      </c>
      <c r="E190" t="s">
        <v>387</v>
      </c>
      <c r="F190" t="s">
        <v>388</v>
      </c>
      <c r="G190" t="s">
        <v>389</v>
      </c>
      <c r="H190" t="s">
        <v>390</v>
      </c>
      <c r="I190" t="s">
        <v>391</v>
      </c>
      <c r="J190" t="s">
        <v>392</v>
      </c>
      <c r="K190" t="s">
        <v>393</v>
      </c>
      <c r="L190" t="s">
        <v>394</v>
      </c>
    </row>
    <row r="191" spans="1:12" x14ac:dyDescent="0.25">
      <c r="A191" t="s">
        <v>114</v>
      </c>
      <c r="B191">
        <v>1941</v>
      </c>
      <c r="C191" s="14"/>
      <c r="E191" t="s">
        <v>450</v>
      </c>
      <c r="F191" t="s">
        <v>451</v>
      </c>
      <c r="G191" t="s">
        <v>452</v>
      </c>
    </row>
    <row r="192" spans="1:12" x14ac:dyDescent="0.25">
      <c r="A192" t="s">
        <v>123</v>
      </c>
      <c r="B192">
        <v>1941</v>
      </c>
      <c r="E192" t="s">
        <v>503</v>
      </c>
      <c r="F192" t="s">
        <v>504</v>
      </c>
      <c r="G192" t="s">
        <v>505</v>
      </c>
      <c r="I192" t="s">
        <v>506</v>
      </c>
      <c r="J192" t="s">
        <v>507</v>
      </c>
    </row>
    <row r="193" spans="1:8" x14ac:dyDescent="0.25">
      <c r="A193" t="s">
        <v>58</v>
      </c>
      <c r="B193">
        <v>1941</v>
      </c>
      <c r="E193" t="s">
        <v>597</v>
      </c>
      <c r="F193" t="s">
        <v>598</v>
      </c>
      <c r="G193" t="s">
        <v>599</v>
      </c>
    </row>
    <row r="194" spans="1:8" x14ac:dyDescent="0.25">
      <c r="A194" t="s">
        <v>97</v>
      </c>
      <c r="B194">
        <v>1941</v>
      </c>
      <c r="E194" t="s">
        <v>774</v>
      </c>
      <c r="F194" t="s">
        <v>775</v>
      </c>
      <c r="G194" t="s">
        <v>776</v>
      </c>
    </row>
    <row r="195" spans="1:8" x14ac:dyDescent="0.25">
      <c r="A195" t="s">
        <v>122</v>
      </c>
      <c r="B195">
        <v>1942</v>
      </c>
      <c r="C195" s="14">
        <v>15347</v>
      </c>
      <c r="D195" t="s">
        <v>374</v>
      </c>
      <c r="E195" t="s">
        <v>418</v>
      </c>
      <c r="F195" t="s">
        <v>490</v>
      </c>
      <c r="G195" t="s">
        <v>491</v>
      </c>
    </row>
    <row r="196" spans="1:8" x14ac:dyDescent="0.25">
      <c r="A196" t="s">
        <v>97</v>
      </c>
      <c r="B196">
        <v>1944</v>
      </c>
      <c r="E196" t="s">
        <v>777</v>
      </c>
      <c r="F196" t="s">
        <v>778</v>
      </c>
      <c r="G196" t="s">
        <v>779</v>
      </c>
    </row>
    <row r="197" spans="1:8" x14ac:dyDescent="0.25">
      <c r="A197" t="s">
        <v>105</v>
      </c>
      <c r="B197">
        <v>1945</v>
      </c>
      <c r="E197" t="s">
        <v>462</v>
      </c>
      <c r="F197" t="s">
        <v>395</v>
      </c>
      <c r="G197" t="s">
        <v>396</v>
      </c>
    </row>
    <row r="198" spans="1:8" x14ac:dyDescent="0.25">
      <c r="A198" t="s">
        <v>123</v>
      </c>
      <c r="B198">
        <v>1945</v>
      </c>
      <c r="E198" t="s">
        <v>508</v>
      </c>
      <c r="F198" t="s">
        <v>509</v>
      </c>
      <c r="G198" t="s">
        <v>510</v>
      </c>
    </row>
    <row r="199" spans="1:8" x14ac:dyDescent="0.25">
      <c r="A199" t="s">
        <v>58</v>
      </c>
      <c r="B199">
        <v>1945</v>
      </c>
      <c r="E199" t="s">
        <v>600</v>
      </c>
      <c r="F199" t="s">
        <v>601</v>
      </c>
      <c r="G199" t="s">
        <v>602</v>
      </c>
    </row>
    <row r="200" spans="1:8" x14ac:dyDescent="0.25">
      <c r="A200" t="s">
        <v>244</v>
      </c>
      <c r="B200">
        <v>1946</v>
      </c>
      <c r="E200" t="s">
        <v>840</v>
      </c>
      <c r="F200" t="s">
        <v>841</v>
      </c>
      <c r="G200" t="s">
        <v>842</v>
      </c>
    </row>
    <row r="201" spans="1:8" x14ac:dyDescent="0.25">
      <c r="A201" t="s">
        <v>105</v>
      </c>
      <c r="B201">
        <v>1948</v>
      </c>
      <c r="C201" s="15"/>
      <c r="E201" t="s">
        <v>397</v>
      </c>
      <c r="F201" t="s">
        <v>398</v>
      </c>
      <c r="G201" t="s">
        <v>399</v>
      </c>
    </row>
    <row r="202" spans="1:8" x14ac:dyDescent="0.25">
      <c r="A202" t="s">
        <v>114</v>
      </c>
      <c r="B202">
        <v>1949</v>
      </c>
      <c r="C202" s="14">
        <v>18208</v>
      </c>
      <c r="E202" t="s">
        <v>453</v>
      </c>
      <c r="F202" t="s">
        <v>454</v>
      </c>
      <c r="G202" t="s">
        <v>455</v>
      </c>
    </row>
    <row r="203" spans="1:8" x14ac:dyDescent="0.25">
      <c r="A203" t="s">
        <v>58</v>
      </c>
      <c r="B203">
        <v>1949</v>
      </c>
      <c r="E203" t="s">
        <v>603</v>
      </c>
      <c r="F203" t="s">
        <v>604</v>
      </c>
      <c r="G203" t="s">
        <v>605</v>
      </c>
      <c r="H203" t="s">
        <v>606</v>
      </c>
    </row>
    <row r="204" spans="1:8" x14ac:dyDescent="0.25">
      <c r="A204" t="s">
        <v>123</v>
      </c>
      <c r="B204">
        <v>1950</v>
      </c>
      <c r="E204" t="s">
        <v>511</v>
      </c>
      <c r="F204" t="s">
        <v>512</v>
      </c>
      <c r="G204" t="s">
        <v>513</v>
      </c>
    </row>
    <row r="205" spans="1:8" x14ac:dyDescent="0.25">
      <c r="A205" t="s">
        <v>123</v>
      </c>
      <c r="B205">
        <v>1951</v>
      </c>
      <c r="E205" t="s">
        <v>514</v>
      </c>
      <c r="F205" t="s">
        <v>515</v>
      </c>
      <c r="G205" t="s">
        <v>516</v>
      </c>
    </row>
    <row r="206" spans="1:8" x14ac:dyDescent="0.25">
      <c r="A206" t="s">
        <v>105</v>
      </c>
      <c r="B206">
        <v>1954</v>
      </c>
      <c r="C206" s="15">
        <v>19815</v>
      </c>
      <c r="E206" t="s">
        <v>401</v>
      </c>
      <c r="F206" t="s">
        <v>402</v>
      </c>
      <c r="G206" t="s">
        <v>403</v>
      </c>
    </row>
    <row r="207" spans="1:8" x14ac:dyDescent="0.25">
      <c r="A207" t="s">
        <v>58</v>
      </c>
      <c r="B207">
        <v>1955</v>
      </c>
      <c r="E207" t="s">
        <v>607</v>
      </c>
      <c r="F207" t="s">
        <v>608</v>
      </c>
      <c r="G207" t="s">
        <v>609</v>
      </c>
      <c r="H207" t="s">
        <v>606</v>
      </c>
    </row>
    <row r="208" spans="1:8" x14ac:dyDescent="0.25">
      <c r="A208" t="s">
        <v>97</v>
      </c>
      <c r="B208">
        <v>1957</v>
      </c>
      <c r="E208" t="s">
        <v>780</v>
      </c>
      <c r="F208" t="s">
        <v>781</v>
      </c>
      <c r="G208" t="s">
        <v>782</v>
      </c>
    </row>
    <row r="209" spans="1:10" x14ac:dyDescent="0.25">
      <c r="A209" t="s">
        <v>105</v>
      </c>
      <c r="B209">
        <v>1958</v>
      </c>
      <c r="E209" t="s">
        <v>404</v>
      </c>
      <c r="F209" t="s">
        <v>405</v>
      </c>
      <c r="G209" t="s">
        <v>406</v>
      </c>
      <c r="H209" t="s">
        <v>390</v>
      </c>
      <c r="I209" t="s">
        <v>42</v>
      </c>
      <c r="J209" t="s">
        <v>407</v>
      </c>
    </row>
    <row r="210" spans="1:10" x14ac:dyDescent="0.25">
      <c r="A210" t="s">
        <v>244</v>
      </c>
      <c r="B210">
        <v>1958</v>
      </c>
      <c r="C210" s="14">
        <v>21388</v>
      </c>
      <c r="D210" t="s">
        <v>386</v>
      </c>
      <c r="E210" t="s">
        <v>418</v>
      </c>
      <c r="F210" t="s">
        <v>843</v>
      </c>
      <c r="G210" t="s">
        <v>844</v>
      </c>
    </row>
    <row r="211" spans="1:10" x14ac:dyDescent="0.25">
      <c r="A211" t="s">
        <v>58</v>
      </c>
      <c r="B211">
        <v>1960</v>
      </c>
      <c r="E211" t="s">
        <v>610</v>
      </c>
      <c r="F211" t="s">
        <v>611</v>
      </c>
      <c r="G211" t="s">
        <v>612</v>
      </c>
    </row>
    <row r="212" spans="1:10" x14ac:dyDescent="0.25">
      <c r="A212" t="s">
        <v>114</v>
      </c>
      <c r="B212">
        <v>1962</v>
      </c>
      <c r="C212" s="14"/>
      <c r="E212" t="s">
        <v>456</v>
      </c>
      <c r="F212" t="s">
        <v>457</v>
      </c>
      <c r="G212" t="s">
        <v>458</v>
      </c>
    </row>
    <row r="213" spans="1:10" x14ac:dyDescent="0.25">
      <c r="A213" t="s">
        <v>114</v>
      </c>
      <c r="B213">
        <v>1966</v>
      </c>
      <c r="C213" s="14">
        <v>24171</v>
      </c>
      <c r="D213" t="s">
        <v>400</v>
      </c>
      <c r="E213" t="s">
        <v>418</v>
      </c>
      <c r="F213" t="s">
        <v>459</v>
      </c>
      <c r="G213" t="s">
        <v>460</v>
      </c>
    </row>
    <row r="214" spans="1:10" x14ac:dyDescent="0.25">
      <c r="A214" t="s">
        <v>97</v>
      </c>
      <c r="B214">
        <v>1972</v>
      </c>
      <c r="C214" s="14">
        <v>26577</v>
      </c>
      <c r="D214" t="s">
        <v>400</v>
      </c>
      <c r="E214" t="s">
        <v>418</v>
      </c>
      <c r="F214" t="s">
        <v>783</v>
      </c>
      <c r="G214" t="s">
        <v>784</v>
      </c>
    </row>
    <row r="215" spans="1:10" x14ac:dyDescent="0.25">
      <c r="A215" t="s">
        <v>105</v>
      </c>
      <c r="B215">
        <v>1975</v>
      </c>
      <c r="E215" t="s">
        <v>408</v>
      </c>
      <c r="F215" t="s">
        <v>409</v>
      </c>
      <c r="G215" t="s">
        <v>410</v>
      </c>
      <c r="H215" t="s">
        <v>411</v>
      </c>
      <c r="I215" t="s">
        <v>412</v>
      </c>
      <c r="J215" t="s">
        <v>413</v>
      </c>
    </row>
    <row r="216" spans="1:10" x14ac:dyDescent="0.25">
      <c r="A216" t="s">
        <v>123</v>
      </c>
      <c r="B216">
        <v>1975</v>
      </c>
      <c r="C216" s="14">
        <v>27711</v>
      </c>
      <c r="D216" t="s">
        <v>386</v>
      </c>
      <c r="E216" t="s">
        <v>418</v>
      </c>
      <c r="F216" t="s">
        <v>517</v>
      </c>
      <c r="G216" t="s">
        <v>518</v>
      </c>
    </row>
    <row r="217" spans="1:10" x14ac:dyDescent="0.25">
      <c r="A217" t="s">
        <v>105</v>
      </c>
      <c r="B217">
        <v>1982</v>
      </c>
      <c r="C217" s="14"/>
      <c r="E217" t="s">
        <v>414</v>
      </c>
      <c r="F217" t="s">
        <v>415</v>
      </c>
      <c r="G217" t="s">
        <v>416</v>
      </c>
      <c r="H217" t="s">
        <v>417</v>
      </c>
    </row>
    <row r="218" spans="1:10" x14ac:dyDescent="0.25">
      <c r="A218" t="s">
        <v>105</v>
      </c>
      <c r="B218">
        <v>1983</v>
      </c>
      <c r="C218" s="14">
        <v>30450</v>
      </c>
      <c r="D218" t="s">
        <v>386</v>
      </c>
      <c r="E218" t="s">
        <v>418</v>
      </c>
      <c r="F218" t="s">
        <v>419</v>
      </c>
      <c r="G218" t="s">
        <v>420</v>
      </c>
      <c r="H218" t="s">
        <v>421</v>
      </c>
      <c r="I218" t="s">
        <v>6</v>
      </c>
      <c r="J218" t="s">
        <v>422</v>
      </c>
    </row>
    <row r="219" spans="1:10" x14ac:dyDescent="0.25">
      <c r="A219" t="s">
        <v>58</v>
      </c>
      <c r="B219">
        <v>1984</v>
      </c>
      <c r="E219" t="s">
        <v>613</v>
      </c>
      <c r="F219" t="s">
        <v>614</v>
      </c>
      <c r="G219" t="s">
        <v>615</v>
      </c>
    </row>
    <row r="220" spans="1:10" x14ac:dyDescent="0.25">
      <c r="A220" t="s">
        <v>58</v>
      </c>
      <c r="B220">
        <v>1987</v>
      </c>
      <c r="E220" t="s">
        <v>616</v>
      </c>
      <c r="F220" t="s">
        <v>617</v>
      </c>
      <c r="G220" t="s">
        <v>618</v>
      </c>
    </row>
    <row r="221" spans="1:10" x14ac:dyDescent="0.25">
      <c r="A221" t="s">
        <v>58</v>
      </c>
      <c r="B221">
        <v>1994</v>
      </c>
      <c r="E221" t="s">
        <v>619</v>
      </c>
      <c r="F221" t="s">
        <v>620</v>
      </c>
      <c r="G221" t="s">
        <v>621</v>
      </c>
    </row>
    <row r="222" spans="1:10" x14ac:dyDescent="0.25">
      <c r="A222" t="s">
        <v>58</v>
      </c>
      <c r="B222">
        <v>2017</v>
      </c>
      <c r="C222" s="14">
        <v>42920</v>
      </c>
      <c r="D222" t="s">
        <v>521</v>
      </c>
      <c r="E222" t="s">
        <v>418</v>
      </c>
      <c r="F222" t="s">
        <v>622</v>
      </c>
      <c r="G222" t="s">
        <v>623</v>
      </c>
    </row>
  </sheetData>
  <sortState xmlns:xlrd2="http://schemas.microsoft.com/office/spreadsheetml/2017/richdata2" ref="A2:L226">
    <sortCondition ref="B1:B226"/>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3F906-EB85-4751-B237-6757CE5E3AEA}">
  <dimension ref="A1:I28"/>
  <sheetViews>
    <sheetView topLeftCell="A7" zoomScaleNormal="100" workbookViewId="0">
      <selection activeCell="C8" sqref="C8"/>
    </sheetView>
  </sheetViews>
  <sheetFormatPr defaultRowHeight="15" x14ac:dyDescent="0.25"/>
  <cols>
    <col min="1" max="1" width="14.85546875" customWidth="1"/>
    <col min="2" max="2" width="17" customWidth="1"/>
    <col min="3" max="3" width="37.85546875" customWidth="1"/>
    <col min="4" max="4" width="62.7109375" customWidth="1"/>
    <col min="5" max="5" width="31.140625" customWidth="1"/>
    <col min="6" max="6" width="19.5703125" customWidth="1"/>
    <col min="7" max="7" width="23" customWidth="1"/>
    <col min="9" max="9" width="51.85546875" customWidth="1"/>
  </cols>
  <sheetData>
    <row r="1" spans="1:9" x14ac:dyDescent="0.25">
      <c r="A1" t="s">
        <v>0</v>
      </c>
      <c r="B1" t="s">
        <v>30</v>
      </c>
      <c r="C1" t="s">
        <v>39</v>
      </c>
      <c r="D1" t="s">
        <v>2</v>
      </c>
      <c r="E1" t="s">
        <v>40</v>
      </c>
      <c r="F1" t="s">
        <v>1</v>
      </c>
      <c r="G1" t="s">
        <v>41</v>
      </c>
    </row>
    <row r="2" spans="1:9" ht="165.75" customHeight="1" x14ac:dyDescent="0.25">
      <c r="A2">
        <v>0</v>
      </c>
      <c r="B2" t="s">
        <v>200</v>
      </c>
      <c r="C2" s="1"/>
      <c r="D2" s="1" t="s">
        <v>373</v>
      </c>
      <c r="E2" s="2"/>
      <c r="F2" t="s">
        <v>372</v>
      </c>
      <c r="G2" s="2" t="s">
        <v>159</v>
      </c>
      <c r="I2" s="7" t="s">
        <v>201</v>
      </c>
    </row>
    <row r="3" spans="1:9" ht="409.5" x14ac:dyDescent="0.25">
      <c r="A3">
        <v>1</v>
      </c>
      <c r="C3" s="1" t="s">
        <v>160</v>
      </c>
      <c r="D3" s="1" t="s">
        <v>168</v>
      </c>
      <c r="E3" s="2" t="s">
        <v>163</v>
      </c>
      <c r="F3" t="s">
        <v>167</v>
      </c>
      <c r="G3" s="2" t="s">
        <v>162</v>
      </c>
    </row>
    <row r="4" spans="1:9" ht="240" x14ac:dyDescent="0.25">
      <c r="A4">
        <v>2</v>
      </c>
      <c r="C4" s="1" t="s">
        <v>161</v>
      </c>
      <c r="D4" s="1" t="s">
        <v>169</v>
      </c>
      <c r="E4" s="2" t="s">
        <v>164</v>
      </c>
      <c r="F4" t="s">
        <v>166</v>
      </c>
      <c r="G4" s="2" t="s">
        <v>165</v>
      </c>
    </row>
    <row r="5" spans="1:9" ht="345" x14ac:dyDescent="0.25">
      <c r="A5">
        <v>3</v>
      </c>
      <c r="C5" s="1" t="s">
        <v>182</v>
      </c>
      <c r="D5" s="1" t="s">
        <v>183</v>
      </c>
      <c r="E5" s="2" t="s">
        <v>196</v>
      </c>
      <c r="F5" t="s">
        <v>170</v>
      </c>
      <c r="G5" s="2" t="s">
        <v>178</v>
      </c>
    </row>
    <row r="6" spans="1:9" ht="315" x14ac:dyDescent="0.25">
      <c r="A6">
        <v>4</v>
      </c>
      <c r="C6" s="1" t="s">
        <v>184</v>
      </c>
      <c r="D6" s="1" t="s">
        <v>185</v>
      </c>
      <c r="E6" s="2" t="s">
        <v>197</v>
      </c>
      <c r="F6" t="s">
        <v>171</v>
      </c>
      <c r="G6" s="2" t="s">
        <v>179</v>
      </c>
    </row>
    <row r="7" spans="1:9" ht="345" x14ac:dyDescent="0.25">
      <c r="A7">
        <v>5</v>
      </c>
      <c r="C7" s="1" t="s">
        <v>186</v>
      </c>
      <c r="D7" s="1" t="s">
        <v>188</v>
      </c>
      <c r="E7" s="2" t="s">
        <v>195</v>
      </c>
      <c r="F7" t="s">
        <v>172</v>
      </c>
      <c r="G7" s="2" t="s">
        <v>180</v>
      </c>
    </row>
    <row r="8" spans="1:9" ht="360" x14ac:dyDescent="0.25">
      <c r="A8">
        <v>5</v>
      </c>
      <c r="C8" s="1" t="s">
        <v>187</v>
      </c>
      <c r="D8" s="1" t="s">
        <v>189</v>
      </c>
      <c r="E8" s="2" t="s">
        <v>198</v>
      </c>
      <c r="F8" t="s">
        <v>173</v>
      </c>
      <c r="G8" s="2" t="s">
        <v>175</v>
      </c>
    </row>
    <row r="9" spans="1:9" ht="345" x14ac:dyDescent="0.25">
      <c r="A9">
        <v>5</v>
      </c>
      <c r="C9" s="1" t="s">
        <v>190</v>
      </c>
      <c r="D9" s="1" t="s">
        <v>191</v>
      </c>
      <c r="E9" s="2" t="s">
        <v>199</v>
      </c>
      <c r="F9" t="s">
        <v>174</v>
      </c>
      <c r="G9" s="2" t="s">
        <v>176</v>
      </c>
    </row>
    <row r="10" spans="1:9" ht="360" x14ac:dyDescent="0.25">
      <c r="A10">
        <v>5</v>
      </c>
      <c r="C10" s="1" t="s">
        <v>192</v>
      </c>
      <c r="D10" s="1" t="s">
        <v>193</v>
      </c>
      <c r="E10" s="2" t="s">
        <v>194</v>
      </c>
      <c r="F10" t="s">
        <v>181</v>
      </c>
      <c r="G10" s="2" t="s">
        <v>177</v>
      </c>
    </row>
    <row r="11" spans="1:9" x14ac:dyDescent="0.25">
      <c r="A11">
        <v>5</v>
      </c>
      <c r="G11" s="2"/>
    </row>
    <row r="12" spans="1:9" x14ac:dyDescent="0.25">
      <c r="A12">
        <v>5</v>
      </c>
    </row>
    <row r="13" spans="1:9" x14ac:dyDescent="0.25">
      <c r="A13">
        <v>5</v>
      </c>
    </row>
    <row r="14" spans="1:9" x14ac:dyDescent="0.25">
      <c r="A14">
        <v>5</v>
      </c>
    </row>
    <row r="15" spans="1:9" x14ac:dyDescent="0.25">
      <c r="A15">
        <v>5</v>
      </c>
    </row>
    <row r="16" spans="1:9" x14ac:dyDescent="0.25">
      <c r="A16">
        <v>5</v>
      </c>
    </row>
    <row r="17" spans="1:1" x14ac:dyDescent="0.25">
      <c r="A17">
        <v>5</v>
      </c>
    </row>
    <row r="18" spans="1:1" x14ac:dyDescent="0.25">
      <c r="A18">
        <v>5</v>
      </c>
    </row>
    <row r="19" spans="1:1" x14ac:dyDescent="0.25">
      <c r="A19">
        <v>5</v>
      </c>
    </row>
    <row r="20" spans="1:1" x14ac:dyDescent="0.25">
      <c r="A20">
        <v>5</v>
      </c>
    </row>
    <row r="21" spans="1:1" x14ac:dyDescent="0.25">
      <c r="A21">
        <v>5</v>
      </c>
    </row>
    <row r="22" spans="1:1" x14ac:dyDescent="0.25">
      <c r="A22">
        <v>5</v>
      </c>
    </row>
    <row r="23" spans="1:1" x14ac:dyDescent="0.25">
      <c r="A23">
        <v>5</v>
      </c>
    </row>
    <row r="24" spans="1:1" x14ac:dyDescent="0.25">
      <c r="A24">
        <v>5</v>
      </c>
    </row>
    <row r="25" spans="1:1" x14ac:dyDescent="0.25">
      <c r="A25">
        <v>5</v>
      </c>
    </row>
    <row r="26" spans="1:1" x14ac:dyDescent="0.25">
      <c r="A26">
        <v>5</v>
      </c>
    </row>
    <row r="27" spans="1:1" x14ac:dyDescent="0.25">
      <c r="A27">
        <v>5</v>
      </c>
    </row>
    <row r="28" spans="1:1" x14ac:dyDescent="0.25">
      <c r="A28">
        <v>5</v>
      </c>
    </row>
  </sheetData>
  <hyperlinks>
    <hyperlink ref="G2" r:id="rId1" xr:uid="{BD469DD7-19CE-4538-9B66-5DD8D08E8EDF}"/>
    <hyperlink ref="E3" r:id="rId2" xr:uid="{AA3C9637-C748-422E-95A1-C44BE161627F}"/>
    <hyperlink ref="E4" r:id="rId3" xr:uid="{8D5EB18D-2D18-460F-B361-47AC1F82D3A8}"/>
    <hyperlink ref="G3" r:id="rId4" xr:uid="{E2DD3F8A-FC76-48F9-8F93-F3577DB34ED9}"/>
    <hyperlink ref="G4" r:id="rId5" xr:uid="{50EEE99F-D109-4655-839E-0A666CF8C0C8}"/>
    <hyperlink ref="E10" r:id="rId6" xr:uid="{63491745-0859-4E6D-8FEF-2CF0DDA7D0B5}"/>
    <hyperlink ref="E7" r:id="rId7" xr:uid="{20DBA325-1F53-4298-A6CE-114E48E604FF}"/>
    <hyperlink ref="E5" r:id="rId8" xr:uid="{E6A31947-1243-4E8F-82E4-4EDDF42CE1E0}"/>
    <hyperlink ref="E6" r:id="rId9" xr:uid="{FE61E0A7-9355-4911-8442-698EC6A56CE5}"/>
    <hyperlink ref="E8" r:id="rId10" xr:uid="{87F7EB5C-0A81-49C7-BA2F-D0AB2D41CF46}"/>
    <hyperlink ref="E9" r:id="rId11" xr:uid="{E658DAC3-A0BD-4AEA-B138-95C94E187B2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3</vt:i4>
      </vt:variant>
    </vt:vector>
  </HeadingPairs>
  <TitlesOfParts>
    <vt:vector size="3" baseType="lpstr">
      <vt:lpstr>Литераторы</vt:lpstr>
      <vt:lpstr>События</vt:lpstr>
      <vt:lpstr>Презентации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Nukiesto</dc:creator>
  <cp:lastModifiedBy>Nukiesto</cp:lastModifiedBy>
  <dcterms:created xsi:type="dcterms:W3CDTF">2015-06-05T18:19:34Z</dcterms:created>
  <dcterms:modified xsi:type="dcterms:W3CDTF">2025-10-20T17:09:02Z</dcterms:modified>
</cp:coreProperties>
</file>